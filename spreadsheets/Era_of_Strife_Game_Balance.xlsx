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ЕЛИЧАЙШИЙ\era-of-strife-meta-balance\spreadsheets\"/>
    </mc:Choice>
  </mc:AlternateContent>
  <bookViews>
    <workbookView xWindow="0" yWindow="0" windowWidth="28800" windowHeight="12435" activeTab="6"/>
  </bookViews>
  <sheets>
    <sheet name="Unit_Balance" sheetId="1" r:id="rId1"/>
    <sheet name="Balance_Config" sheetId="2" r:id="rId2"/>
    <sheet name="Faction_Identity" sheetId="3" r:id="rId3"/>
    <sheet name="Unit_Identity" sheetId="4" r:id="rId4"/>
    <sheet name="Ability_Balance" sheetId="5" r:id="rId5"/>
    <sheet name="Balance_Risks" sheetId="6" r:id="rId6"/>
    <sheet name="Balance_Summary" sheetId="7" r:id="rId7"/>
    <sheet name="Cost_Efficiency" sheetId="8" r:id="rId8"/>
    <sheet name="Ability_Analysis" sheetId="9" r:id="rId9"/>
    <sheet name="Combat_Scenarios" sheetId="10" r:id="rId10"/>
    <sheet name="Interaction_Matrix" sheetId="11" r:id="rId11"/>
    <sheet name="Balance_Changelog" sheetId="12" r:id="rId12"/>
    <sheet name="Balance_Tests" sheetId="13" r:id="rId13"/>
  </sheets>
  <definedNames>
    <definedName name="_xlnm._FilterDatabase" localSheetId="0" hidden="1">Unit_Balance!$A$1:$E$13</definedName>
  </definedNames>
  <calcPr calcId="152511"/>
</workbook>
</file>

<file path=xl/calcChain.xml><?xml version="1.0" encoding="utf-8"?>
<calcChain xmlns="http://schemas.openxmlformats.org/spreadsheetml/2006/main">
  <c r="M7" i="13" l="1"/>
  <c r="M6" i="13"/>
  <c r="M5" i="13"/>
  <c r="H5" i="13"/>
  <c r="G5" i="13"/>
  <c r="F5" i="13"/>
  <c r="M4" i="13"/>
  <c r="G4" i="13"/>
  <c r="H4" i="13" s="1"/>
  <c r="F4" i="13"/>
  <c r="M3" i="13"/>
  <c r="G3" i="13"/>
  <c r="F3" i="13"/>
  <c r="H3" i="13" s="1"/>
  <c r="M2" i="13"/>
  <c r="H2" i="13"/>
  <c r="G2" i="13"/>
  <c r="F2" i="13"/>
  <c r="I11" i="10"/>
  <c r="H11" i="10"/>
  <c r="K11" i="10" s="1"/>
  <c r="G11" i="10"/>
  <c r="G10" i="10"/>
  <c r="H10" i="10" s="1"/>
  <c r="H9" i="10"/>
  <c r="K9" i="10" s="1"/>
  <c r="H8" i="10"/>
  <c r="K8" i="10" s="1"/>
  <c r="H7" i="10"/>
  <c r="K7" i="10" s="1"/>
  <c r="G6" i="10"/>
  <c r="G5" i="10"/>
  <c r="G3" i="10"/>
  <c r="G14" i="9"/>
  <c r="F14" i="9"/>
  <c r="F13" i="9"/>
  <c r="G13" i="9" s="1"/>
  <c r="F12" i="9"/>
  <c r="G12" i="9" s="1"/>
  <c r="G11" i="9"/>
  <c r="F11" i="9"/>
  <c r="G10" i="9"/>
  <c r="F10" i="9"/>
  <c r="G9" i="9"/>
  <c r="F9" i="9"/>
  <c r="G8" i="9"/>
  <c r="F8" i="9"/>
  <c r="F7" i="9"/>
  <c r="G7" i="9" s="1"/>
  <c r="F6" i="9"/>
  <c r="G6" i="9" s="1"/>
  <c r="G5" i="9"/>
  <c r="F5" i="9"/>
  <c r="G4" i="9"/>
  <c r="F4" i="9"/>
  <c r="G3" i="9"/>
  <c r="G2" i="9"/>
  <c r="D13" i="8"/>
  <c r="D12" i="8"/>
  <c r="D11" i="8"/>
  <c r="D10" i="8"/>
  <c r="D9" i="8"/>
  <c r="D8" i="8"/>
  <c r="D7" i="8"/>
  <c r="D6" i="8"/>
  <c r="D5" i="8"/>
  <c r="D4" i="8"/>
  <c r="D3" i="8"/>
  <c r="D2" i="8"/>
  <c r="H23" i="7"/>
  <c r="H22" i="7"/>
  <c r="H21" i="7"/>
  <c r="H20" i="7"/>
  <c r="B20" i="7"/>
  <c r="H19" i="7"/>
  <c r="B18" i="7"/>
  <c r="H15" i="7"/>
  <c r="B14" i="7"/>
  <c r="B24" i="7" s="1"/>
  <c r="B13" i="7"/>
  <c r="B23" i="7" s="1"/>
  <c r="B12" i="7"/>
  <c r="H14" i="7" s="1"/>
  <c r="H11" i="7"/>
  <c r="B11" i="7"/>
  <c r="H13" i="7" s="1"/>
  <c r="B10" i="7"/>
  <c r="H12" i="7" s="1"/>
  <c r="B9" i="7"/>
  <c r="B8" i="7"/>
  <c r="B21" i="7" s="1"/>
  <c r="B7" i="7"/>
  <c r="H6" i="7"/>
  <c r="H5" i="7"/>
  <c r="H4" i="7"/>
  <c r="B4" i="7"/>
  <c r="H3" i="7"/>
  <c r="B13" i="4"/>
  <c r="B12" i="4"/>
  <c r="B11" i="4"/>
  <c r="B10" i="4"/>
  <c r="B9" i="4"/>
  <c r="B8" i="4"/>
  <c r="B7" i="4"/>
  <c r="B6" i="4"/>
  <c r="B5" i="4"/>
  <c r="B4" i="4"/>
  <c r="B3" i="4"/>
  <c r="B2" i="4"/>
  <c r="A20" i="2"/>
  <c r="A19" i="2"/>
  <c r="A18" i="2"/>
  <c r="A16" i="2"/>
  <c r="A15" i="2"/>
  <c r="K11" i="1" s="1"/>
  <c r="V11" i="8" s="1"/>
  <c r="W11" i="8" s="1"/>
  <c r="A14" i="2"/>
  <c r="N14" i="1"/>
  <c r="M14" i="1"/>
  <c r="I14" i="1"/>
  <c r="F13" i="1"/>
  <c r="E13" i="8" s="1"/>
  <c r="G13" i="8" s="1"/>
  <c r="J11" i="1"/>
  <c r="R11" i="8" s="1"/>
  <c r="S11" i="8" s="1"/>
  <c r="F10" i="1"/>
  <c r="M10" i="1" s="1"/>
  <c r="J8" i="1"/>
  <c r="R8" i="8" s="1"/>
  <c r="S8" i="8" s="1"/>
  <c r="F8" i="1"/>
  <c r="E8" i="8" s="1"/>
  <c r="G8" i="8" s="1"/>
  <c r="F7" i="1"/>
  <c r="E7" i="8" s="1"/>
  <c r="G7" i="8" s="1"/>
  <c r="J6" i="1"/>
  <c r="R6" i="8" s="1"/>
  <c r="S6" i="8" s="1"/>
  <c r="K5" i="1"/>
  <c r="V5" i="8" s="1"/>
  <c r="W5" i="8" s="1"/>
  <c r="J5" i="1"/>
  <c r="R5" i="8" s="1"/>
  <c r="S5" i="8" s="1"/>
  <c r="F5" i="1"/>
  <c r="E5" i="8" s="1"/>
  <c r="G5" i="8" s="1"/>
  <c r="F4" i="1"/>
  <c r="M4" i="1" s="1"/>
  <c r="J3" i="1"/>
  <c r="R3" i="8" s="1"/>
  <c r="S3" i="8" s="1"/>
  <c r="K2" i="1"/>
  <c r="V2" i="8" s="1"/>
  <c r="W2" i="8" s="1"/>
  <c r="J2" i="1"/>
  <c r="R2" i="8" s="1"/>
  <c r="S2" i="8" s="1"/>
  <c r="H2" i="1"/>
  <c r="G2" i="1" s="1"/>
  <c r="I2" i="1" s="1"/>
  <c r="F2" i="1"/>
  <c r="F2" i="10" s="1"/>
  <c r="B6" i="7"/>
  <c r="B5" i="7"/>
  <c r="F2" i="8" l="1"/>
  <c r="H2" i="8" s="1"/>
  <c r="N2" i="1"/>
  <c r="K10" i="10"/>
  <c r="I10" i="10"/>
  <c r="T10" i="8"/>
  <c r="B27" i="7"/>
  <c r="X6" i="8"/>
  <c r="X9" i="8"/>
  <c r="K8" i="1"/>
  <c r="V8" i="8" s="1"/>
  <c r="W8" i="8" s="1"/>
  <c r="M2" i="1"/>
  <c r="H4" i="1"/>
  <c r="G4" i="1" s="1"/>
  <c r="I4" i="1" s="1"/>
  <c r="M5" i="1"/>
  <c r="H7" i="1"/>
  <c r="G7" i="1" s="1"/>
  <c r="I7" i="1" s="1"/>
  <c r="M8" i="1"/>
  <c r="H10" i="1"/>
  <c r="G10" i="1" s="1"/>
  <c r="I10" i="1" s="1"/>
  <c r="H13" i="1"/>
  <c r="G13" i="1" s="1"/>
  <c r="I13" i="1" s="1"/>
  <c r="B17" i="7"/>
  <c r="E4" i="8"/>
  <c r="G4" i="8" s="1"/>
  <c r="E10" i="8"/>
  <c r="G10" i="8" s="1"/>
  <c r="B26" i="7"/>
  <c r="J4" i="1"/>
  <c r="R4" i="8" s="1"/>
  <c r="S4" i="8" s="1"/>
  <c r="J10" i="1"/>
  <c r="R10" i="8" s="1"/>
  <c r="S10" i="8" s="1"/>
  <c r="T6" i="8" s="1"/>
  <c r="U6" i="8" s="1"/>
  <c r="F12" i="1"/>
  <c r="J13" i="1"/>
  <c r="R13" i="8" s="1"/>
  <c r="S13" i="8" s="1"/>
  <c r="H10" i="7"/>
  <c r="B19" i="7"/>
  <c r="F6" i="1"/>
  <c r="K4" i="1"/>
  <c r="V4" i="8" s="1"/>
  <c r="W4" i="8" s="1"/>
  <c r="K10" i="1"/>
  <c r="V10" i="8" s="1"/>
  <c r="W10" i="8" s="1"/>
  <c r="K13" i="1"/>
  <c r="V13" i="8" s="1"/>
  <c r="W13" i="8" s="1"/>
  <c r="J7" i="1"/>
  <c r="R7" i="8" s="1"/>
  <c r="S7" i="8" s="1"/>
  <c r="T3" i="8" s="1"/>
  <c r="U3" i="8" s="1"/>
  <c r="K7" i="1"/>
  <c r="V7" i="8" s="1"/>
  <c r="W7" i="8" s="1"/>
  <c r="H6" i="1"/>
  <c r="G6" i="1" s="1"/>
  <c r="I6" i="1" s="1"/>
  <c r="M7" i="1"/>
  <c r="H12" i="1"/>
  <c r="G12" i="1" s="1"/>
  <c r="M13" i="1"/>
  <c r="E2" i="8"/>
  <c r="G2" i="8" s="1"/>
  <c r="F3" i="1"/>
  <c r="F9" i="1"/>
  <c r="H3" i="1"/>
  <c r="G3" i="1" s="1"/>
  <c r="I3" i="1" s="1"/>
  <c r="H9" i="1"/>
  <c r="G9" i="1" s="1"/>
  <c r="I9" i="1" s="1"/>
  <c r="J9" i="1"/>
  <c r="R9" i="8" s="1"/>
  <c r="S9" i="8" s="1"/>
  <c r="T13" i="8" s="1"/>
  <c r="F11" i="1"/>
  <c r="J12" i="1"/>
  <c r="R12" i="8" s="1"/>
  <c r="S12" i="8" s="1"/>
  <c r="K3" i="1"/>
  <c r="V3" i="8" s="1"/>
  <c r="W3" i="8" s="1"/>
  <c r="K6" i="1"/>
  <c r="V6" i="8" s="1"/>
  <c r="W6" i="8" s="1"/>
  <c r="X2" i="8" s="1"/>
  <c r="Y2" i="8" s="1"/>
  <c r="K9" i="1"/>
  <c r="V9" i="8" s="1"/>
  <c r="W9" i="8" s="1"/>
  <c r="K12" i="1"/>
  <c r="V12" i="8" s="1"/>
  <c r="W12" i="8" s="1"/>
  <c r="B22" i="7"/>
  <c r="H5" i="1"/>
  <c r="G5" i="1" s="1"/>
  <c r="I5" i="1" s="1"/>
  <c r="H8" i="1"/>
  <c r="G8" i="1" s="1"/>
  <c r="H11" i="1"/>
  <c r="G11" i="1" s="1"/>
  <c r="I11" i="1" s="1"/>
  <c r="M6" i="1" l="1"/>
  <c r="E6" i="8"/>
  <c r="G6" i="8" s="1"/>
  <c r="I4" i="8" s="1"/>
  <c r="K4" i="8" s="1"/>
  <c r="E6" i="10"/>
  <c r="H6" i="10" s="1"/>
  <c r="E3" i="10"/>
  <c r="H3" i="10" s="1"/>
  <c r="N10" i="1"/>
  <c r="E2" i="10"/>
  <c r="H2" i="10" s="1"/>
  <c r="I2" i="10" s="1"/>
  <c r="K2" i="10" s="1"/>
  <c r="F10" i="8"/>
  <c r="H10" i="8" s="1"/>
  <c r="X10" i="8"/>
  <c r="I8" i="1"/>
  <c r="E4" i="10"/>
  <c r="F7" i="8"/>
  <c r="H7" i="8" s="1"/>
  <c r="N7" i="1"/>
  <c r="T5" i="8"/>
  <c r="U5" i="8" s="1"/>
  <c r="T2" i="8"/>
  <c r="U2" i="8" s="1"/>
  <c r="X8" i="8"/>
  <c r="X4" i="8"/>
  <c r="Y4" i="8" s="1"/>
  <c r="X12" i="8"/>
  <c r="Y12" i="8" s="1"/>
  <c r="M10" i="8"/>
  <c r="M2" i="8"/>
  <c r="O2" i="8" s="1"/>
  <c r="Q2" i="8" s="1"/>
  <c r="U13" i="8"/>
  <c r="I5" i="8"/>
  <c r="K5" i="8" s="1"/>
  <c r="E5" i="10"/>
  <c r="H5" i="10" s="1"/>
  <c r="I12" i="1"/>
  <c r="M12" i="1"/>
  <c r="E12" i="8"/>
  <c r="G12" i="8" s="1"/>
  <c r="M8" i="8" s="1"/>
  <c r="O8" i="8" s="1"/>
  <c r="N4" i="1"/>
  <c r="F4" i="8"/>
  <c r="H4" i="8" s="1"/>
  <c r="T9" i="8"/>
  <c r="U9" i="8" s="1"/>
  <c r="N3" i="1"/>
  <c r="F3" i="8"/>
  <c r="H3" i="8" s="1"/>
  <c r="Y6" i="8"/>
  <c r="U10" i="8"/>
  <c r="M9" i="1"/>
  <c r="E9" i="8"/>
  <c r="G9" i="8" s="1"/>
  <c r="F6" i="8"/>
  <c r="H6" i="8" s="1"/>
  <c r="N6" i="1"/>
  <c r="T12" i="8"/>
  <c r="U12" i="8" s="1"/>
  <c r="T8" i="8"/>
  <c r="U8" i="8" s="1"/>
  <c r="T4" i="8"/>
  <c r="U4" i="8" s="1"/>
  <c r="Y8" i="8"/>
  <c r="T11" i="8"/>
  <c r="U11" i="8" s="1"/>
  <c r="M3" i="1"/>
  <c r="E3" i="8"/>
  <c r="G3" i="8" s="1"/>
  <c r="F13" i="8"/>
  <c r="H13" i="8" s="1"/>
  <c r="N13" i="1"/>
  <c r="Y9" i="8"/>
  <c r="U7" i="8"/>
  <c r="O10" i="8"/>
  <c r="I10" i="8"/>
  <c r="K10" i="8" s="1"/>
  <c r="Y13" i="8"/>
  <c r="M12" i="8"/>
  <c r="X5" i="8"/>
  <c r="Y5" i="8" s="1"/>
  <c r="T7" i="8"/>
  <c r="I13" i="8"/>
  <c r="K13" i="8" s="1"/>
  <c r="I8" i="8"/>
  <c r="K8" i="8" s="1"/>
  <c r="F5" i="8"/>
  <c r="H5" i="8" s="1"/>
  <c r="N5" i="1"/>
  <c r="Y3" i="8"/>
  <c r="X3" i="8"/>
  <c r="X11" i="8"/>
  <c r="Y11" i="8" s="1"/>
  <c r="X7" i="8"/>
  <c r="Y7" i="8" s="1"/>
  <c r="E11" i="8"/>
  <c r="G11" i="8" s="1"/>
  <c r="F4" i="10"/>
  <c r="M11" i="1"/>
  <c r="X13" i="8"/>
  <c r="N9" i="1"/>
  <c r="F9" i="8"/>
  <c r="H9" i="8" s="1"/>
  <c r="Y10" i="8"/>
  <c r="F11" i="8"/>
  <c r="H11" i="8" s="1"/>
  <c r="N11" i="1"/>
  <c r="N10" i="8"/>
  <c r="N6" i="8"/>
  <c r="P2" i="8"/>
  <c r="N2" i="8"/>
  <c r="K4" i="10" l="1"/>
  <c r="H4" i="10"/>
  <c r="N9" i="8"/>
  <c r="P9" i="8" s="1"/>
  <c r="N5" i="8"/>
  <c r="P5" i="8" s="1"/>
  <c r="N13" i="8"/>
  <c r="P13" i="8" s="1"/>
  <c r="M6" i="8"/>
  <c r="F8" i="8"/>
  <c r="H8" i="8" s="1"/>
  <c r="J11" i="8" s="1"/>
  <c r="L11" i="8" s="1"/>
  <c r="N8" i="1"/>
  <c r="N3" i="8"/>
  <c r="N11" i="8"/>
  <c r="P11" i="8" s="1"/>
  <c r="N7" i="8"/>
  <c r="P7" i="8" s="1"/>
  <c r="P3" i="8"/>
  <c r="Q10" i="8"/>
  <c r="N4" i="8"/>
  <c r="P4" i="8" s="1"/>
  <c r="N12" i="8"/>
  <c r="I2" i="8"/>
  <c r="K2" i="8" s="1"/>
  <c r="P10" i="8"/>
  <c r="I4" i="10"/>
  <c r="P6" i="8"/>
  <c r="F12" i="8"/>
  <c r="H12" i="8" s="1"/>
  <c r="N8" i="8" s="1"/>
  <c r="N12" i="1"/>
  <c r="I3" i="10"/>
  <c r="K3" i="10"/>
  <c r="O12" i="8"/>
  <c r="I12" i="8"/>
  <c r="K12" i="8" s="1"/>
  <c r="I11" i="8"/>
  <c r="K11" i="8" s="1"/>
  <c r="I9" i="8"/>
  <c r="K9" i="8" s="1"/>
  <c r="M9" i="8"/>
  <c r="O9" i="8" s="1"/>
  <c r="Q9" i="8" s="1"/>
  <c r="M5" i="8"/>
  <c r="O5" i="8" s="1"/>
  <c r="M13" i="8"/>
  <c r="O13" i="8" s="1"/>
  <c r="K5" i="10"/>
  <c r="I5" i="10"/>
  <c r="K6" i="10"/>
  <c r="I6" i="10"/>
  <c r="O6" i="8"/>
  <c r="I6" i="8"/>
  <c r="K6" i="8" s="1"/>
  <c r="M4" i="8"/>
  <c r="O4" i="8" s="1"/>
  <c r="M3" i="8"/>
  <c r="O3" i="8" s="1"/>
  <c r="Q3" i="8" s="1"/>
  <c r="M11" i="8"/>
  <c r="O11" i="8" s="1"/>
  <c r="I3" i="8"/>
  <c r="K3" i="8" s="1"/>
  <c r="M7" i="8"/>
  <c r="O7" i="8" s="1"/>
  <c r="I7" i="8"/>
  <c r="K7" i="8" s="1"/>
  <c r="Q11" i="8" l="1"/>
  <c r="Q5" i="8"/>
  <c r="J5" i="8"/>
  <c r="L5" i="8" s="1"/>
  <c r="Q6" i="8"/>
  <c r="J9" i="8"/>
  <c r="L9" i="8" s="1"/>
  <c r="J3" i="8"/>
  <c r="L3" i="8" s="1"/>
  <c r="Q4" i="8"/>
  <c r="J2" i="8"/>
  <c r="L2" i="8" s="1"/>
  <c r="J13" i="8"/>
  <c r="L13" i="8" s="1"/>
  <c r="J10" i="8"/>
  <c r="L10" i="8" s="1"/>
  <c r="Q12" i="8"/>
  <c r="J6" i="8"/>
  <c r="L6" i="8" s="1"/>
  <c r="J8" i="8"/>
  <c r="L8" i="8" s="1"/>
  <c r="P8" i="8"/>
  <c r="Q8" i="8" s="1"/>
  <c r="J7" i="8"/>
  <c r="L7" i="8" s="1"/>
  <c r="P12" i="8"/>
  <c r="J12" i="8"/>
  <c r="L12" i="8" s="1"/>
  <c r="Q7" i="8"/>
  <c r="Q13" i="8"/>
  <c r="J4" i="8"/>
  <c r="L4" i="8" s="1"/>
</calcChain>
</file>

<file path=xl/sharedStrings.xml><?xml version="1.0" encoding="utf-8"?>
<sst xmlns="http://schemas.openxmlformats.org/spreadsheetml/2006/main" count="1620" uniqueCount="784">
  <si>
    <t>Unit_ID</t>
  </si>
  <si>
    <t>Faction</t>
  </si>
  <si>
    <t>Unit_Name</t>
  </si>
  <si>
    <t>Combat_Function</t>
  </si>
  <si>
    <t>Strength</t>
  </si>
  <si>
    <t>Weakness</t>
  </si>
  <si>
    <t>Signature_Mechanic</t>
  </si>
  <si>
    <t>UND_01</t>
  </si>
  <si>
    <t>Role</t>
  </si>
  <si>
    <t>Core_Playstyle</t>
  </si>
  <si>
    <t>Attack_Type</t>
  </si>
  <si>
    <t>Strength_1</t>
  </si>
  <si>
    <t>Strength_2</t>
  </si>
  <si>
    <t>HP</t>
  </si>
  <si>
    <t>Strength_3</t>
  </si>
  <si>
    <t>Weakness_1</t>
  </si>
  <si>
    <t>Weakness_2</t>
  </si>
  <si>
    <t>Damage</t>
  </si>
  <si>
    <t>Skill_Focus</t>
  </si>
  <si>
    <t>Undead</t>
  </si>
  <si>
    <t>Attack_Interval</t>
  </si>
  <si>
    <t>Attrition</t>
  </si>
  <si>
    <t>Recovery</t>
  </si>
  <si>
    <t>Debuffs</t>
  </si>
  <si>
    <t>Sustained Pressure</t>
  </si>
  <si>
    <t>DPS</t>
  </si>
  <si>
    <t>Low Mobility</t>
  </si>
  <si>
    <t>Low Burst Damage</t>
  </si>
  <si>
    <t>Resource &amp; Army Management</t>
  </si>
  <si>
    <t>Attack_Range</t>
  </si>
  <si>
    <t>Forest &amp; Dark Elves</t>
  </si>
  <si>
    <t>Precision</t>
  </si>
  <si>
    <t>High Mobility</t>
  </si>
  <si>
    <t>Move_Speed</t>
  </si>
  <si>
    <t>Long Range</t>
  </si>
  <si>
    <t>High Unit Value</t>
  </si>
  <si>
    <t>Cost</t>
  </si>
  <si>
    <t>Low Durability</t>
  </si>
  <si>
    <t>High Punishment for Mistakes</t>
  </si>
  <si>
    <t>Positioning &amp; Micro</t>
  </si>
  <si>
    <t>HP_per_Cost</t>
  </si>
  <si>
    <t>Horde</t>
  </si>
  <si>
    <t>Brute Force / Pressure</t>
  </si>
  <si>
    <t>DPS_per_Cost</t>
  </si>
  <si>
    <t>High HP</t>
  </si>
  <si>
    <t>Strong Melee</t>
  </si>
  <si>
    <t>Crowd Control</t>
  </si>
  <si>
    <t>Limited Range</t>
  </si>
  <si>
    <t>Engagement Timing</t>
  </si>
  <si>
    <t>Skeleton Swordsman</t>
  </si>
  <si>
    <t>Infantry</t>
  </si>
  <si>
    <t>Melee</t>
  </si>
  <si>
    <t>Disposable Frontline Infantry</t>
  </si>
  <si>
    <t>Low Replacement Cost</t>
  </si>
  <si>
    <t>Low Individual Durability</t>
  </si>
  <si>
    <t>Reassemble</t>
  </si>
  <si>
    <t>UND_02</t>
  </si>
  <si>
    <t>Sustained Frontline Tank</t>
  </si>
  <si>
    <t>High Sustain</t>
  </si>
  <si>
    <t>Death Feast</t>
  </si>
  <si>
    <t>UND_03</t>
  </si>
  <si>
    <t>Parameter</t>
  </si>
  <si>
    <t>Sustained Ranged Damage</t>
  </si>
  <si>
    <t>Consistent Damage</t>
  </si>
  <si>
    <t>Value</t>
  </si>
  <si>
    <t>Unit</t>
  </si>
  <si>
    <t>Cursed Spear</t>
  </si>
  <si>
    <t>UND_04</t>
  </si>
  <si>
    <t>Baseline_HP</t>
  </si>
  <si>
    <t>Baseline_DPS</t>
  </si>
  <si>
    <t>damage/sec</t>
  </si>
  <si>
    <t>Baseline_Cost</t>
  </si>
  <si>
    <t>resource</t>
  </si>
  <si>
    <t>Baseline_Move_Speed</t>
  </si>
  <si>
    <t>tiles/sec</t>
  </si>
  <si>
    <t>Baseline_Melee_Range</t>
  </si>
  <si>
    <t xml:space="preserve">tiles </t>
  </si>
  <si>
    <t>Baseline_Ranged_Range</t>
  </si>
  <si>
    <t>Enemy Debuff Support</t>
  </si>
  <si>
    <t>Strong Debuffs</t>
  </si>
  <si>
    <t>Very Low Durability</t>
  </si>
  <si>
    <t>Baseline_Attack_Interval</t>
  </si>
  <si>
    <t>Curse</t>
  </si>
  <si>
    <t>sec</t>
  </si>
  <si>
    <t>ELF_01</t>
  </si>
  <si>
    <t>Infantry_HP_Modifier</t>
  </si>
  <si>
    <t>multiplier</t>
  </si>
  <si>
    <t>Tank_HP_Modifier</t>
  </si>
  <si>
    <t>Ranged_HP_Modifier</t>
  </si>
  <si>
    <t>Mobile Melee Infantry</t>
  </si>
  <si>
    <t>Support_HP_Modifier</t>
  </si>
  <si>
    <t>Evasive Step</t>
  </si>
  <si>
    <t>ELF_02</t>
  </si>
  <si>
    <t>Protective Frontline Tank</t>
  </si>
  <si>
    <t>High Durability</t>
  </si>
  <si>
    <t>Limited Damage</t>
  </si>
  <si>
    <t>Guardian Roar</t>
  </si>
  <si>
    <t>ELF_03</t>
  </si>
  <si>
    <t>High-Value Ranged Damage</t>
  </si>
  <si>
    <t>High Damage &amp; Range</t>
  </si>
  <si>
    <t>Focused Bolt</t>
  </si>
  <si>
    <t>ELF_04</t>
  </si>
  <si>
    <t>Protective Magic Support</t>
  </si>
  <si>
    <t>Strong Ally Protection</t>
  </si>
  <si>
    <t>Low Direct Damage</t>
  </si>
  <si>
    <t>Arcane Shield</t>
  </si>
  <si>
    <t>HOR_01</t>
  </si>
  <si>
    <t>Infantry_Attack_Interval_Modifier</t>
  </si>
  <si>
    <t>Tank_Attack_Interval_Modifier</t>
  </si>
  <si>
    <t>Ranged_Attack_Interval_Modifier</t>
  </si>
  <si>
    <t>Support_Attack_Interval_Modifier</t>
  </si>
  <si>
    <t>UND_01_Attack_Interval_Modifier</t>
  </si>
  <si>
    <t>Aggressive Melee Infantry</t>
  </si>
  <si>
    <t>High Melee Damage</t>
  </si>
  <si>
    <t>Blood Rush</t>
  </si>
  <si>
    <t>ELF_01_Attack_Interval_Modifier</t>
  </si>
  <si>
    <t>HOR_02</t>
  </si>
  <si>
    <t>HOR_01_Attack_Interval_Modifier</t>
  </si>
  <si>
    <t>Infantry_DPS_Modifier</t>
  </si>
  <si>
    <t>Tank_DPS_Modifier</t>
  </si>
  <si>
    <t>Ranged_DPS_Modifier</t>
  </si>
  <si>
    <t>Support_DPS_Modifier</t>
  </si>
  <si>
    <t>Heavy Frontline Tank</t>
  </si>
  <si>
    <t>Very High Durability</t>
  </si>
  <si>
    <t>Very Low Mobility</t>
  </si>
  <si>
    <t>UND_01_DPS_Modifier</t>
  </si>
  <si>
    <t>Stone Skin</t>
  </si>
  <si>
    <t>HOR_03</t>
  </si>
  <si>
    <t>ELF_01_DPS_Modifier</t>
  </si>
  <si>
    <t>HOR_01_DPS_Modifier</t>
  </si>
  <si>
    <t>ELF_03_Range_Modifier</t>
  </si>
  <si>
    <t>HOR_03_Range_Modifier</t>
  </si>
  <si>
    <t>UND_01_Move_Speed_Modifier</t>
  </si>
  <si>
    <t>Short-Range Ranged Pressure</t>
  </si>
  <si>
    <t>High Attack Rate</t>
  </si>
  <si>
    <t>Short Range</t>
  </si>
  <si>
    <t>Knife Barrage</t>
  </si>
  <si>
    <t>ELF_01_Move_Speed_Modifier</t>
  </si>
  <si>
    <t>HOR_04</t>
  </si>
  <si>
    <t>HOR_01_Move_Speed_Modifier</t>
  </si>
  <si>
    <t>UND_02_Move_Speed_Modifier</t>
  </si>
  <si>
    <t>ELF_02_Move_Speed_Modifier</t>
  </si>
  <si>
    <t>HOR_02_Move_Speed_Modifier</t>
  </si>
  <si>
    <t>UND_03_Move_Speed_Modifier</t>
  </si>
  <si>
    <t>ELF_03_Move_Speed_Modifier</t>
  </si>
  <si>
    <t>Crowd Control Support</t>
  </si>
  <si>
    <t>HOR_03_Move_Speed_Modifier</t>
  </si>
  <si>
    <t>Strong Crowd Control</t>
  </si>
  <si>
    <t>Low Damage</t>
  </si>
  <si>
    <t>Bone Smash</t>
  </si>
  <si>
    <t>UND_04_Move_Speed_Modifier</t>
  </si>
  <si>
    <t>Bone Dragon</t>
  </si>
  <si>
    <t>ELF_04_Move_Speed_Modifier</t>
  </si>
  <si>
    <t>Tank</t>
  </si>
  <si>
    <t>HOR_04_Move_Speed_Modifier</t>
  </si>
  <si>
    <t>Ability_ID</t>
  </si>
  <si>
    <t>Ability_Name</t>
  </si>
  <si>
    <t>Ability_Type</t>
  </si>
  <si>
    <t>Trigger</t>
  </si>
  <si>
    <t>Target</t>
  </si>
  <si>
    <t>UND_01_A01</t>
  </si>
  <si>
    <t>Triggered</t>
  </si>
  <si>
    <t>Restore_HP</t>
  </si>
  <si>
    <t>%</t>
  </si>
  <si>
    <t>On Death</t>
  </si>
  <si>
    <t>Self</t>
  </si>
  <si>
    <t>Delay</t>
  </si>
  <si>
    <t>Spear Devil</t>
  </si>
  <si>
    <t>Ranged</t>
  </si>
  <si>
    <t>Max_Uses</t>
  </si>
  <si>
    <t>count</t>
  </si>
  <si>
    <t>UND_02_A01</t>
  </si>
  <si>
    <t>Heal_Per_Death</t>
  </si>
  <si>
    <t>% HP</t>
  </si>
  <si>
    <t>Nearby Death</t>
  </si>
  <si>
    <t>Trigger_Radius</t>
  </si>
  <si>
    <t>tiles</t>
  </si>
  <si>
    <t>Max_Heal_Per_Second</t>
  </si>
  <si>
    <t>% HP/s</t>
  </si>
  <si>
    <t>UND_03_A01</t>
  </si>
  <si>
    <t>Damage_Reduction</t>
  </si>
  <si>
    <t>Every 3 Hits</t>
  </si>
  <si>
    <t>Single Enemy</t>
  </si>
  <si>
    <t>Hits_Required</t>
  </si>
  <si>
    <t>hits</t>
  </si>
  <si>
    <t>Duration</t>
  </si>
  <si>
    <t>Max_Stacks</t>
  </si>
  <si>
    <t>Refresh</t>
  </si>
  <si>
    <t>boolean</t>
  </si>
  <si>
    <t>Reapply</t>
  </si>
  <si>
    <t>UND_04_A01</t>
  </si>
  <si>
    <t>Active</t>
  </si>
  <si>
    <t>Attack_Speed_Reduction</t>
  </si>
  <si>
    <t>Manual Activation</t>
  </si>
  <si>
    <t>Cooldown</t>
  </si>
  <si>
    <t>ELF_01_A01</t>
  </si>
  <si>
    <t>Dash_Distance</t>
  </si>
  <si>
    <t>Dash_Duration</t>
  </si>
  <si>
    <t>0.5</t>
  </si>
  <si>
    <t>Invulnerability</t>
  </si>
  <si>
    <t>During Dash</t>
  </si>
  <si>
    <t>ELF_02_A01</t>
  </si>
  <si>
    <t>Taunt_Duration</t>
  </si>
  <si>
    <t>Nearby Enemies</t>
  </si>
  <si>
    <t>Effect_Radius</t>
  </si>
  <si>
    <t>ELF_03_A01</t>
  </si>
  <si>
    <t>Charge_Time</t>
  </si>
  <si>
    <t>Damage_Multiplier</t>
  </si>
  <si>
    <t>On Cast Complete</t>
  </si>
  <si>
    <t>Cancel_Cooldown</t>
  </si>
  <si>
    <t>On Cast Cancel</t>
  </si>
  <si>
    <t>Movement_Allowed</t>
  </si>
  <si>
    <t>During Charge</t>
  </si>
  <si>
    <t>ELF_04_A01</t>
  </si>
  <si>
    <t>Witch</t>
  </si>
  <si>
    <t>Shield_Amount</t>
  </si>
  <si>
    <t>Support</t>
  </si>
  <si>
    <t>Single Ally</t>
  </si>
  <si>
    <t>Self_Cast</t>
  </si>
  <si>
    <t>HOR_01_A01</t>
  </si>
  <si>
    <t>Attack_Speed_Bonus</t>
  </si>
  <si>
    <t>First Melee Hit</t>
  </si>
  <si>
    <t>On Activation</t>
  </si>
  <si>
    <t>HOR_02_A01</t>
  </si>
  <si>
    <t>During Effect</t>
  </si>
  <si>
    <t>Attack_Allowed</t>
  </si>
  <si>
    <t>HOR_03_A01</t>
  </si>
  <si>
    <t>Knife_Count</t>
  </si>
  <si>
    <t>Damage_Per_Knife</t>
  </si>
  <si>
    <t>0.45</t>
  </si>
  <si>
    <t>On Knife Hit</t>
  </si>
  <si>
    <t>Knife_Interval</t>
  </si>
  <si>
    <t>0.2</t>
  </si>
  <si>
    <t>During Barrage</t>
  </si>
  <si>
    <t>HOR_04_A01</t>
  </si>
  <si>
    <t>Knockback_Distance</t>
  </si>
  <si>
    <t>On Hit</t>
  </si>
  <si>
    <t>Stun_Duration</t>
  </si>
  <si>
    <t>After Knockback</t>
  </si>
  <si>
    <t>Pass_Through_Enemies</t>
  </si>
  <si>
    <t>Blocked_Path_Cooldown</t>
  </si>
  <si>
    <t>On Blocked Dash</t>
  </si>
  <si>
    <t>Interrupts_Active_Abilities</t>
  </si>
  <si>
    <t>On Taunt</t>
  </si>
  <si>
    <t>Redirects_Future_Multihits</t>
  </si>
  <si>
    <t>During Taunt</t>
  </si>
  <si>
    <t>Projectile_Collision</t>
  </si>
  <si>
    <t>On Projectile Travel</t>
  </si>
  <si>
    <t>First Enemy Hit</t>
  </si>
  <si>
    <t>Risk_ID</t>
  </si>
  <si>
    <t>Pierces_Units</t>
  </si>
  <si>
    <t>Category</t>
  </si>
  <si>
    <t>Related_Units</t>
  </si>
  <si>
    <t>Risk_Description</t>
  </si>
  <si>
    <t>Test_Hypothesis</t>
  </si>
  <si>
    <t>Status</t>
  </si>
  <si>
    <t>Evidence_Source</t>
  </si>
  <si>
    <t>Calculated_Result</t>
  </si>
  <si>
    <t>Interpretation</t>
  </si>
  <si>
    <t>Next_Action</t>
  </si>
  <si>
    <t>RISK_001</t>
  </si>
  <si>
    <t>Debuff Synergy</t>
  </si>
  <si>
    <t>UND_03; UND_04</t>
  </si>
  <si>
    <t>Elven Swordsman</t>
  </si>
  <si>
    <t>Combined Damage and Attack Speed reduction may suppress enemy DPS too strongly</t>
  </si>
  <si>
    <t>Test combined DPS reduction and target survivability</t>
  </si>
  <si>
    <t>Analyzed — Needs Playtest</t>
  </si>
  <si>
    <t>SCN_005</t>
  </si>
  <si>
    <t>Combined modifier = (1-15%)*(1-20%) = 0.68; normalized DPS reduction = 32%</t>
  </si>
  <si>
    <t>Combined Cursed Spear and Curse can substantially reduce sustained enemy DPS when both debuffs are active</t>
  </si>
  <si>
    <t>Playtest combined debuffs against multiple attacker archetypes and compare TTK</t>
  </si>
  <si>
    <t>RISK_002</t>
  </si>
  <si>
    <t>CC Chain</t>
  </si>
  <si>
    <t>Multiple Boneclub Trolls may create excessive consecutive stun duration</t>
  </si>
  <si>
    <t>Test 1–3 Trolls against a single target</t>
  </si>
  <si>
    <t>Not Tested</t>
  </si>
  <si>
    <t>Not calculated yet</t>
  </si>
  <si>
    <t>Requires tests with 1, 2 and 3 Boneclub Trolls</t>
  </si>
  <si>
    <t>Current single-target calculations do not determine whether multiple Trolls can create excessive consecutive CC</t>
  </si>
  <si>
    <t>Create multi-Troll CC-chain scenario</t>
  </si>
  <si>
    <t>RISK_003</t>
  </si>
  <si>
    <t>Defensive Synergy</t>
  </si>
  <si>
    <t>ELF_02; ELF_04</t>
  </si>
  <si>
    <t>Guardian Roar combined with Arcane Shield may make the Bear too difficult to eliminate</t>
  </si>
  <si>
    <t>Test Bear survivability with and without Arcane Shield</t>
  </si>
  <si>
    <t>SCN_012; SCN_013</t>
  </si>
  <si>
    <t>Arcane Shield adds 350 HP to Bear; theoretical effective HP increases from 1600 to 1950 (+21.875%); normalized TTK increases from 16 to 19.5 sec</t>
  </si>
  <si>
    <t>Arcane Shield can meaningfully increase Bear survivability, but the full theoretical benefit requires the 350 HP shield to be consumed during its 6-sec duration</t>
  </si>
  <si>
    <t>Playtest Guardian Roar + Arcane Shield against burst and sustained damage; measure shield utilization and actual survivability increase</t>
  </si>
  <si>
    <t>RISK_004</t>
  </si>
  <si>
    <t>Sustain Synergy</t>
  </si>
  <si>
    <t>UND_01; UND_02</t>
  </si>
  <si>
    <t>Reassembled Skeleton may trigger Death Feast again after its second death</t>
  </si>
  <si>
    <t>Compare Bone Dragon healing with and without Reassemble deaths</t>
  </si>
  <si>
    <t>SCN_006; SCN_007; SCN_008</t>
  </si>
  <si>
    <t>Reassemble restores 280 HP; one Death Feast trigger heals 43.2 HP; Death Feast cap = 86.4 HP/sec</t>
  </si>
  <si>
    <t>Reassembled Skeleton deaths can increase Bone Dragon sustain, but total impact depends on death frequency and positioning</t>
  </si>
  <si>
    <t>Simulate repeated nearby deaths and compare total Bone Dragon healing</t>
  </si>
  <si>
    <t>RISK_005</t>
  </si>
  <si>
    <t>Debuff Reliability</t>
  </si>
  <si>
    <t>Cursed Spear may require too much or too little time to activate depending on Spear Devil attack rate</t>
  </si>
  <si>
    <t>Measure time to reach 3 hits and compare it with typical combat and burst windows</t>
  </si>
  <si>
    <t>SCN_011</t>
  </si>
  <si>
    <t>Attack Interval = 1.2 sec; 3 hits require 2 intervals after the first hit; Time_to_Proc = (3-1)*1.2 = 2.4 sec</t>
  </si>
  <si>
    <t>Cursed Spear requires 2.4 sec from the first successful hit to the third hit that activates the debuff</t>
  </si>
  <si>
    <t>Validate 2.4-sec Time_to_Proc against burst windows and realistic target movement</t>
  </si>
  <si>
    <t>RISK_006</t>
  </si>
  <si>
    <t>Modifier Interaction</t>
  </si>
  <si>
    <t>UND_04; HOR_01</t>
  </si>
  <si>
    <t>Curse and Blood Rush modify Attack Speed in opposite directions and require a consistent stacking rule</t>
  </si>
  <si>
    <t>Compare additive and multiplicative modifier models and measure their effect on Goblin DPS</t>
  </si>
  <si>
    <t>SCN_009</t>
  </si>
  <si>
    <t>Current multiplicative model: 1.5*0.8 = 1.2; Goblin DPS = 75*1.2 = 90</t>
  </si>
  <si>
    <t>Under the current multiplicative model Curse partially offsets Blood Rush without completely cancelling it</t>
  </si>
  <si>
    <t>Compare multiplicative model with alternative stacking rule and choose one global modifier rule</t>
  </si>
  <si>
    <t>RISK_007</t>
  </si>
  <si>
    <t>Mobility Rule</t>
  </si>
  <si>
    <t>Evasive Step behavior is undefined when the dash path is blocked by enemy units</t>
  </si>
  <si>
    <t>Compare blocked-dash rules and determine which creates clear counterplay without making the ability excessively punishing</t>
  </si>
  <si>
    <t>RISK_008</t>
  </si>
  <si>
    <t>Ability Timing</t>
  </si>
  <si>
    <t>Guardian Roar may provide very low value if baited before the main enemy engagement</t>
  </si>
  <si>
    <t>Test whether the 16-second cooldown creates sufficient punishment for premature activation without making the ability too unreliable</t>
  </si>
  <si>
    <t>RISK_009</t>
  </si>
  <si>
    <t>Projectile Rule</t>
  </si>
  <si>
    <t>Focused Bolt target and projectile collision behavior must be defined</t>
  </si>
  <si>
    <t>Compare target-locked and collision-based targeting to determine which provides clearer counterplay and target-selection depth</t>
  </si>
  <si>
    <t>RISK_010</t>
  </si>
  <si>
    <t>Defensive Cooldown</t>
  </si>
  <si>
    <t>Arcane Shield may lose most of its value if enemies can easily switch away from the shielded target</t>
  </si>
  <si>
    <t>Test whether target switching provides sufficient counterplay without making Arcane Shield too easy to ignore</t>
  </si>
  <si>
    <t>RISK_011</t>
  </si>
  <si>
    <t>Engagement Reliability</t>
  </si>
  <si>
    <t>Blade Goblin may be unable to reliably reach melee range and trigger Blood Rush because of its low durability and lack of mobility tools</t>
  </si>
  <si>
    <t>Measure how often Goblin reaches intended backline targets and how much of the 4-second Blood Rush window is spent dealing effective damage</t>
  </si>
  <si>
    <t>RISK_012</t>
  </si>
  <si>
    <t>Defensive Reliability</t>
  </si>
  <si>
    <t>Stone Skin may provide very low value if enemies can disengage or bypass the immobile Stone Ogre during its 4-second duration</t>
  </si>
  <si>
    <t>Measure prevented damage and enemy target switching during Stone Skin to determine whether immobility creates sufficient counterplay without making the ability too easy to ignore</t>
  </si>
  <si>
    <t>RISK_013</t>
  </si>
  <si>
    <t>Barrage Reliability</t>
  </si>
  <si>
    <t>Knife Barrage may lose too much of its potential damage when the target dies or leaves attack range before all five knives are released</t>
  </si>
  <si>
    <t>Measure average knives landed per Barrage and compare damage efficiency across mobile, fragile, and durable targets</t>
  </si>
  <si>
    <t>RISK_014</t>
  </si>
  <si>
    <t>Knockback Interaction</t>
  </si>
  <si>
    <t>HOR_04; HOR_03; HOR_01</t>
  </si>
  <si>
    <t>Bone Smash knockback may unintentionally move enemies away from allied damage dealers and reduce Horde follow-up damage</t>
  </si>
  <si>
    <t>Test Bone Smash from different attack angles and measure whether knockback improves or reduces follow-up damage from Goblin and Orc Thrower</t>
  </si>
  <si>
    <t>RISK_015</t>
  </si>
  <si>
    <t>Cost Efficiency</t>
  </si>
  <si>
    <t>Skeleton Swordsman may provide excessive total combat value for its low cost due to Reassemble</t>
  </si>
  <si>
    <t>Compare Skeleton cost efficiency and effective survivability before and after the cost increase</t>
  </si>
  <si>
    <t>Adjusted — Retest Required</t>
  </si>
  <si>
    <t>RISK_016</t>
  </si>
  <si>
    <t>Power Window</t>
  </si>
  <si>
    <t>Blood Rush may not create a strong enough temporary offensive threat</t>
  </si>
  <si>
    <t>Compare Goblin damage output during Blood Rush before and after the Attack Speed bonus increase</t>
  </si>
  <si>
    <t>Great Forest Bear</t>
  </si>
  <si>
    <t>Elven Mage</t>
  </si>
  <si>
    <t>HP_Index</t>
  </si>
  <si>
    <t>DPS_Index</t>
  </si>
  <si>
    <t>HP_Deviation</t>
  </si>
  <si>
    <t>DPS_Deviation</t>
  </si>
  <si>
    <t>Role_Avg_HP_per_Cost</t>
  </si>
  <si>
    <t>Role_Avg_DPS_per_Cost</t>
  </si>
  <si>
    <t>Role_HP_Index</t>
  </si>
  <si>
    <t>Role_DPS_Index</t>
  </si>
  <si>
    <t>Role_Flag</t>
  </si>
  <si>
    <t>Range_per_Cost</t>
  </si>
  <si>
    <t>Role_Avg_Range</t>
  </si>
  <si>
    <t>Role_Range_Index</t>
  </si>
  <si>
    <t>Mobility_per_Cost</t>
  </si>
  <si>
    <t>Role_Avg_Mobility</t>
  </si>
  <si>
    <t>Role_Mobility_Index</t>
  </si>
  <si>
    <t>Elven Scholar</t>
  </si>
  <si>
    <t>Blade Goblin</t>
  </si>
  <si>
    <t>Analysis_ID</t>
  </si>
  <si>
    <t>Ability</t>
  </si>
  <si>
    <t>Metric</t>
  </si>
  <si>
    <t>Base_Value</t>
  </si>
  <si>
    <t>Ability_Value</t>
  </si>
  <si>
    <t>Change_Percent</t>
  </si>
  <si>
    <t>Notes</t>
  </si>
  <si>
    <t>ABL_001</t>
  </si>
  <si>
    <t>Stone Ogre</t>
  </si>
  <si>
    <t>DPS_During_Ability</t>
  </si>
  <si>
    <t>Assumes continuous attacking</t>
  </si>
  <si>
    <t>ABL_002</t>
  </si>
  <si>
    <t>Damage_4s</t>
  </si>
  <si>
    <t>Assumes continuous attacking for full 4-second window</t>
  </si>
  <si>
    <t>ABL_003</t>
  </si>
  <si>
    <t>Effective_HP_During_Ability</t>
  </si>
  <si>
    <t>Only during 4-second Stone Skin effect</t>
  </si>
  <si>
    <t>ABL_004</t>
  </si>
  <si>
    <t>Single_Hit_Damage</t>
  </si>
  <si>
    <t>Assumes Focused Bolt cast completes</t>
  </si>
  <si>
    <t>ABL_005</t>
  </si>
  <si>
    <t>Damage of one individual knife</t>
  </si>
  <si>
    <t>ABL_006</t>
  </si>
  <si>
    <t>Max_Total_Damage</t>
  </si>
  <si>
    <t>Orc Thrower</t>
  </si>
  <si>
    <t>Maximum damage if all 5 knives hit</t>
  </si>
  <si>
    <t>ABL_007</t>
  </si>
  <si>
    <t>Restored_HP</t>
  </si>
  <si>
    <t>HP restored after successful Reassemble</t>
  </si>
  <si>
    <t>ABL_008</t>
  </si>
  <si>
    <t>Theoretical_Total_HP</t>
  </si>
  <si>
    <t>Assumes Reassemble succeeds and restored HP is fully consumed</t>
  </si>
  <si>
    <t>ABL_009</t>
  </si>
  <si>
    <t>Healing generated by one nearby death</t>
  </si>
  <si>
    <t>ABL_010</t>
  </si>
  <si>
    <t>Maximum healing per second due to ability cap</t>
  </si>
  <si>
    <t>ABL_011</t>
  </si>
  <si>
    <t>Target_Damage_After_Debuff</t>
  </si>
  <si>
    <t>Normalized target damage after Cursed Spear debuf</t>
  </si>
  <si>
    <t>ABL_012</t>
  </si>
  <si>
    <t>Target_Attack_Speed_After_Debuff</t>
  </si>
  <si>
    <t>Normalized basic Attack Speed; does not affect ability timing</t>
  </si>
  <si>
    <t>ABL_013</t>
  </si>
  <si>
    <t>Cursed Spear + Curse</t>
  </si>
  <si>
    <t>Target_Normalized_DPS</t>
  </si>
  <si>
    <t>Boneclub Troll</t>
  </si>
  <si>
    <t>Combined theoretical effect when both debuffs are active</t>
  </si>
  <si>
    <t>Scenario_ID</t>
  </si>
  <si>
    <t>Attacker_ID</t>
  </si>
  <si>
    <t>Defender_ID</t>
  </si>
  <si>
    <t>Scenario</t>
  </si>
  <si>
    <t>Attacker_DPS</t>
  </si>
  <si>
    <t>Defender_HP</t>
  </si>
  <si>
    <t>Ability_Modifier</t>
  </si>
  <si>
    <t>Effective_DPS</t>
  </si>
  <si>
    <t>Time_to_Kill</t>
  </si>
  <si>
    <t>Adjusted_Result</t>
  </si>
  <si>
    <t>Result_Description</t>
  </si>
  <si>
    <t>Finding</t>
  </si>
  <si>
    <t>Balance_Interpretation</t>
  </si>
  <si>
    <t>Action</t>
  </si>
  <si>
    <t>Risk_Link</t>
  </si>
  <si>
    <t>SCN_001</t>
  </si>
  <si>
    <t>Goblin vs Skeleton — Base</t>
  </si>
  <si>
    <t>Baseline; ignores Reassemble</t>
  </si>
  <si>
    <t>Baseline TTK</t>
  </si>
  <si>
    <t>SCN_002</t>
  </si>
  <si>
    <t>Goblin vs Skeleton — Blood Rush</t>
  </si>
  <si>
    <t>Blood Rush lasts only 4 sec; theoretical TTK assumes permanent bonus</t>
  </si>
  <si>
    <t>Adjusted TTK with temporary Blood Rush</t>
  </si>
  <si>
    <t>Baseline TTK = 10.67 sec</t>
  </si>
  <si>
    <t>Provides a reference combat duration for comparing modified Goblin vs Skeleton scenarios</t>
  </si>
  <si>
    <t>Keep as baseline reference</t>
  </si>
  <si>
    <t>—</t>
  </si>
  <si>
    <t>SCN_003</t>
  </si>
  <si>
    <t>Focused Bolt vs Stone Ogre</t>
  </si>
  <si>
    <t>Focused Bolt single-hit analysis; Time_to_Kill represents equivalent number of full-damage bolts, not seconds</t>
  </si>
  <si>
    <t>damage</t>
  </si>
  <si>
    <t>Focused Bolt damage during Stone Skin</t>
  </si>
  <si>
    <t>Theoretical TTK = 7.11 sec, but Blood Rush lasts only 4 sec</t>
  </si>
  <si>
    <t>Blood Rush creates a strong temporary damage window, but the simple TTK calculation overestimates its duration because the bonus does not remain active until the target dies</t>
  </si>
  <si>
    <t>Recalculate using a two-phase damage model</t>
  </si>
  <si>
    <t>SCN_004</t>
  </si>
  <si>
    <t>Knife Barrage vs Elven Mage</t>
  </si>
  <si>
    <t>Interaction_ID</t>
  </si>
  <si>
    <t>Source_Unit</t>
  </si>
  <si>
    <t>Source_Ability</t>
  </si>
  <si>
    <t>Target_Unit</t>
  </si>
  <si>
    <t>Target_Ability</t>
  </si>
  <si>
    <t>Interaction_Type</t>
  </si>
  <si>
    <t>Interaction_Description</t>
  </si>
  <si>
    <t>Expected_Result</t>
  </si>
  <si>
    <t>Needs_Testing</t>
  </si>
  <si>
    <t>INT_001</t>
  </si>
  <si>
    <t>Timing Interaction</t>
  </si>
  <si>
    <t>Maximum Knife Barrage damage if all 5 knives hit; no retarget</t>
  </si>
  <si>
    <t>Stone Skin reduces Focused Bolt damage during the fortify window</t>
  </si>
  <si>
    <t>Elven Mage is encouraged to delay Focused Bolt until Stone Skin expires</t>
  </si>
  <si>
    <t>Yes</t>
  </si>
  <si>
    <t>INT_002</t>
  </si>
  <si>
    <t>Soft Counter</t>
  </si>
  <si>
    <t>Maximum Knife Barrage damage</t>
  </si>
  <si>
    <t>Evasive Step may move the target outside Knife Barrage range</t>
  </si>
  <si>
    <t>Focused Bolt deals 330 raw damage and 198 damage during Stone Skin</t>
  </si>
  <si>
    <t>Correct dash timing may interrupt the remaining barrage</t>
  </si>
  <si>
    <t>Stone Skin reduces Focused Bolt damage by 40%, creating a meaningful defensive timing interaction</t>
  </si>
  <si>
    <t>INT_003</t>
  </si>
  <si>
    <t>Keep interaction and validate in combat testing</t>
  </si>
  <si>
    <t>Bone Smash interrupts Focused Bolt through crowd control</t>
  </si>
  <si>
    <t>Troll can cancel the cast if it reaches the Mage before the charge completes</t>
  </si>
  <si>
    <t>Combined Undead Debuffs vs Goblin</t>
  </si>
  <si>
    <t>INT_004</t>
  </si>
  <si>
    <t>Guardian Roar can redirect Blood Rush attacks from a fragile ally to the Bear</t>
  </si>
  <si>
    <t>Part of the Goblin's high-damage engagement window may be spent attacking the tank</t>
  </si>
  <si>
    <t>INT_005</t>
  </si>
  <si>
    <t>Synergy</t>
  </si>
  <si>
    <t>Arcane Shield can absorb part of the focused damage caused by Guardian Roar</t>
  </si>
  <si>
    <t>The Bear survives focused enemy attacks longer while protecting fragile allies</t>
  </si>
  <si>
    <t>INT_006</t>
  </si>
  <si>
    <t>Reassemble allows one Skeleton to potentially generate two death events for Death Feast</t>
  </si>
  <si>
    <t>Bone Dragon may receive additional sustain from reassembled Skeleton deaths</t>
  </si>
  <si>
    <t>INT_007</t>
  </si>
  <si>
    <t>Skeleton may absorb the Goblin's Blood Rush engagement window and later reassemble</t>
  </si>
  <si>
    <t>Goblin may spend part of its temporary attack speed bonus on a disposable target</t>
  </si>
  <si>
    <t>INT_008</t>
  </si>
  <si>
    <t>Knife Barrage may be spent killing a Skeleton that can later reassemble</t>
  </si>
  <si>
    <t>Orc Thrower may trade a 10-second cooldown for only temporarily removing the Skeleton</t>
  </si>
  <si>
    <t>INT_009</t>
  </si>
  <si>
    <t>Skeleton can absorb Bone Smash and still return through Reassemble after death</t>
  </si>
  <si>
    <t>Troll may spend valuable crowd control on a disposable frontline unit instead of a high-value target</t>
  </si>
  <si>
    <t>INT_010</t>
  </si>
  <si>
    <t>Cursed Spear reduces incoming enemy damage while Bone Dragon sustains the frontline through Death Feast</t>
  </si>
  <si>
    <t>Steady-state value after both debuffs are active; Cursed Spear requires 3 hits before activation</t>
  </si>
  <si>
    <t>Reduced incoming damage may give Bone Dragon more time to benefit from nearby death events</t>
  </si>
  <si>
    <t>INT_011</t>
  </si>
  <si>
    <t>Blood Rush DPS after both Undead debuffs are active</t>
  </si>
  <si>
    <t>Knife Barrage deals up to 297 total damage</t>
  </si>
  <si>
    <t>Curse reduces enemy attack speed while Bone Dragon holds the frontline</t>
  </si>
  <si>
    <t>A full Knife Barrage deals 2.25x base damage if all five knives hit, but requires the target to remain valid for the full barrage</t>
  </si>
  <si>
    <t>Lower enemy attack frequency may increase the time available for Death Feast healing to generate value</t>
  </si>
  <si>
    <t>Test hit reliability and interruption frequency</t>
  </si>
  <si>
    <t>INT_012</t>
  </si>
  <si>
    <t>SCN_006</t>
  </si>
  <si>
    <t>Skeleton Reassemble — Effective HP</t>
  </si>
  <si>
    <t>Cursed Spear reduces the damage of Focused Bolt if the Mage is debuffed before the cast resolves</t>
  </si>
  <si>
    <t>Focused Bolt retains its burst role but deals reduced damage while the debuff is active</t>
  </si>
  <si>
    <t>INT_013</t>
  </si>
  <si>
    <t>Cursed Spear reduces the damage of individual Goblin attacks during Blood Rush without removing the attack speed bonus</t>
  </si>
  <si>
    <t>Goblin keeps its faster attacks but may generate less total damage during the engagement window</t>
  </si>
  <si>
    <t>INT_014</t>
  </si>
  <si>
    <t>Theoretical total HP including Reassemble</t>
  </si>
  <si>
    <t>Combined Undead debuffs reduce normalized DPS to 68%</t>
  </si>
  <si>
    <t>Curse reduces Goblin attack speed while Blood Rush temporarily increases it</t>
  </si>
  <si>
    <t>Simultaneous Cursed Spear and Curse theoretically reduce sustained DPS by 32%, creating potentially strong debuff synergy</t>
  </si>
  <si>
    <t>Curse may partially offset the Goblin's temporary attack speed advantage during Blood Rush</t>
  </si>
  <si>
    <t>Test combined debuffs against multiple attacker archetypes</t>
  </si>
  <si>
    <t>INT_015</t>
  </si>
  <si>
    <t>SCN_007</t>
  </si>
  <si>
    <t>Bone Dragon — Death Feast per Death</t>
  </si>
  <si>
    <t>Curse reduces Orc Thrower's basic attack frequency but does not change the fixed timing inside Knife Barrage</t>
  </si>
  <si>
    <t>Orc Thrower may generate less sustained basic-attack pressure while retaining the full timing of Knife Barrage</t>
  </si>
  <si>
    <t>INT_016</t>
  </si>
  <si>
    <t>Evasive Step can reposition the Swordsman toward the Bear, allowing Guardian Roar to help redirect nearby enemy pressure</t>
  </si>
  <si>
    <t>Correct repositioning may allow the low-durability Swordsman to disengage while the Bear takes over frontline pressure</t>
  </si>
  <si>
    <t>Death Feast healing from one death</t>
  </si>
  <si>
    <t>INT_017</t>
  </si>
  <si>
    <t>Reassemble increases theoretical Skeleton HP from 800 to 1080</t>
  </si>
  <si>
    <t>A successful Reassemble increases theoretical total HP by 35%, but the 4-second delay creates a counterplay window</t>
  </si>
  <si>
    <t>Test Reassemble success rate in realistic combat</t>
  </si>
  <si>
    <t>Era of Strife — Balance Summary</t>
  </si>
  <si>
    <t>SCN_008</t>
  </si>
  <si>
    <t>Evasive Step can be used to pressure the low-durability Witch before or after she commits Curse</t>
  </si>
  <si>
    <t>Project</t>
  </si>
  <si>
    <t>Swordsman timing may either threaten Witch before Curse is cast or exploit the 12-second cooldown after its use</t>
  </si>
  <si>
    <t>Bone Dragon — Death Feast Heal Cap</t>
  </si>
  <si>
    <t>Mobile RTS META Balance Project</t>
  </si>
  <si>
    <t>INT_018</t>
  </si>
  <si>
    <t>Risk Status</t>
  </si>
  <si>
    <t>Count</t>
  </si>
  <si>
    <t>Maximum Death Feast healing allowed per second</t>
  </si>
  <si>
    <t>Project_Version</t>
  </si>
  <si>
    <t>Guardian Roar can redirect nearby enemy pressure while Elven Mage charges Focused Bolt</t>
  </si>
  <si>
    <t>v0.1</t>
  </si>
  <si>
    <t>The 2.5-second taunt window may provide enough protection for the Mage to complete the 2-second cast</t>
  </si>
  <si>
    <t>HP/sec</t>
  </si>
  <si>
    <t>INT_019</t>
  </si>
  <si>
    <t>Maximum Death Feast healing per second</t>
  </si>
  <si>
    <t>One nearby death heals Bone Dragon for 43.2 HP</t>
  </si>
  <si>
    <t>Individual Death Feast triggers are small, so ability value depends strongly on nearby death frequency</t>
  </si>
  <si>
    <t>Test healing across different numbers of nearby deaths</t>
  </si>
  <si>
    <t>Positioning Interaction</t>
  </si>
  <si>
    <t>Guardian Roar may reposition nearby Undead units relative to Bone Dragon before they die</t>
  </si>
  <si>
    <t>Deaths within 5 tiles may heal Bone Dragon, while pulling units outside the trigger radius may deny Death Feast healing</t>
  </si>
  <si>
    <t>INT_020</t>
  </si>
  <si>
    <t>Blood Rush vs Curse</t>
  </si>
  <si>
    <t>Arcane Shield can absorb incoming damage while Elven Mage remains stationary during Focused Bolt charge</t>
  </si>
  <si>
    <t>The shield may increase the probability that Mage survives long enough to complete the 2-second cast</t>
  </si>
  <si>
    <t>INT_021</t>
  </si>
  <si>
    <t>Orc Thrower becomes stationary during Knife Barrage, creating a predictable target window for Focused Bolt</t>
  </si>
  <si>
    <t>Mage may exploit Orc Thrower's stationary barrage window, while the Orc may simultaneously pressure the stationary Mage</t>
  </si>
  <si>
    <t>INT_022</t>
  </si>
  <si>
    <t>Arcane Shield can protect the low-durability Swordsman while he uses Evasive Step to disengage from enemy pressure</t>
  </si>
  <si>
    <t>The shield may allow Swordsman to survive incoming damage while repositioning toward the allied formation</t>
  </si>
  <si>
    <t>INT_023</t>
  </si>
  <si>
    <t>Total_Units</t>
  </si>
  <si>
    <t>Arcane Shield can absorb part of the repeated damage dealt by Knife Barrage</t>
  </si>
  <si>
    <t>Shield may absorb one or more Knife Barrage hits depending on its final Shield Amount</t>
  </si>
  <si>
    <t>INT_024</t>
  </si>
  <si>
    <t>Multiplicative model: Blood Rush bonus combined with Curse Attack Speed reduction</t>
  </si>
  <si>
    <t>Bone Smash can stun an enemy target and create a short engagement window for Blade Goblin to reach it and trigger Blood Rush</t>
  </si>
  <si>
    <t>Goblin effective DPS during Blood Rush while Cursed</t>
  </si>
  <si>
    <t>Crowd control may help Goblin secure its first melee hit and spend more of the Blood Rush window attacking the intended target</t>
  </si>
  <si>
    <t>Death Feast healing is capped at 86.4 HP/sec</t>
  </si>
  <si>
    <t>The healing cap limits extreme sustain when many units die simultaneously</t>
  </si>
  <si>
    <t>INT_025</t>
  </si>
  <si>
    <t>Test whether the cap prevents excessive sustain in large fights</t>
  </si>
  <si>
    <t>SCN_010</t>
  </si>
  <si>
    <t>Elven Mage becomes stationary while charging Focused Bolt, creating an engagement window for Blade Goblin</t>
  </si>
  <si>
    <t>Bone Smash vs Focused Bolt</t>
  </si>
  <si>
    <t>Goblin pressure may force the Mage to cancel Focused Bolt or risk taking sustained melee damage during the charge</t>
  </si>
  <si>
    <t>INT_026</t>
  </si>
  <si>
    <t>Stone Ogre can absorb frontline pressure during Stone Skin while Blade Goblin approaches a higher-value target</t>
  </si>
  <si>
    <t>The defensive window may create space for Goblin to reach melee range and trigger Blood Rush without becoming the primary target too early</t>
  </si>
  <si>
    <t>INT_027</t>
  </si>
  <si>
    <t>Evasive Step may allow Swordsman to reposition around the immobile Stone Ogre during Stone Skin</t>
  </si>
  <si>
    <t>Swordsman may avoid spending damage on the fortified Ogre and pressure a more valuable target behind the frontline</t>
  </si>
  <si>
    <t>INT_028</t>
  </si>
  <si>
    <t>Total_Factions</t>
  </si>
  <si>
    <t>Bone Smash can stun an enemy long enough for Orc Thrower to perform the full Knife Barrage sequence</t>
  </si>
  <si>
    <t>The 1.5-second stun may prevent the target from repositioning during the approximately 0.8-second five-knife sequence</t>
  </si>
  <si>
    <t>INT_029</t>
  </si>
  <si>
    <t>Negative Synergy</t>
  </si>
  <si>
    <t>Bone Smash may knock the current Knife Barrage target outside Orc Thrower's attack range</t>
  </si>
  <si>
    <t>Poor knockback timing may end Knife Barrage early, causing unused knives to be lost while the ability remains on cooldown</t>
  </si>
  <si>
    <t>Compares Bone Smash stun duration with Focused Bolt charge time; assumes successful interrupt timing</t>
  </si>
  <si>
    <t>Stun duration as percentage of Focused Bolt charge time</t>
  </si>
  <si>
    <t>Blocked by Missing Parameter</t>
  </si>
  <si>
    <t>Blood Rush + Curse produces 90 DPS under the current multiplicative model</t>
  </si>
  <si>
    <t>Curse partially offsets Blood Rush, but the result depends on the chosen Attack Speed stacking rule</t>
  </si>
  <si>
    <t>Compare additive and multiplicative stacking models</t>
  </si>
  <si>
    <t>Generic Target</t>
  </si>
  <si>
    <t>Cursed Spear — Time to Proc</t>
  </si>
  <si>
    <t>Total_Abilities</t>
  </si>
  <si>
    <t>Time from first successful hit to third hit; 3 hits require 2 attack intervals</t>
  </si>
  <si>
    <t>Cursed Spear activation time</t>
  </si>
  <si>
    <t>SCN_012</t>
  </si>
  <si>
    <t>Generic Enemy</t>
  </si>
  <si>
    <t>Bear — Base Survivability</t>
  </si>
  <si>
    <t>Baseline survivability model using normalized 100 DPS incoming damage</t>
  </si>
  <si>
    <t>Bear baseline theoretical TTK</t>
  </si>
  <si>
    <t>SCN_013</t>
  </si>
  <si>
    <t>Bear + Arcane Shield</t>
  </si>
  <si>
    <t>Arcane Shield adds 350 HP; theoretical effective HP = 1600+350 = 1950</t>
  </si>
  <si>
    <t>Bear theoretical TTK with Arcane Shield</t>
  </si>
  <si>
    <t>Total_Risks</t>
  </si>
  <si>
    <t>Analyzed_Risks</t>
  </si>
  <si>
    <t>Not_Tested_Risks</t>
  </si>
  <si>
    <t>Testing Metric</t>
  </si>
  <si>
    <t>Blocked_Risks</t>
  </si>
  <si>
    <t>Analyzed Risks</t>
  </si>
  <si>
    <t>Retest_Required_Risks</t>
  </si>
  <si>
    <t>Not Tested Risks</t>
  </si>
  <si>
    <t>Total_Combat_Scenarios</t>
  </si>
  <si>
    <t>Blocked Risks</t>
  </si>
  <si>
    <t>Total_Interactions</t>
  </si>
  <si>
    <t>Retest Required</t>
  </si>
  <si>
    <t>Total_Balance_Tests</t>
  </si>
  <si>
    <t>Combat Scenarios</t>
  </si>
  <si>
    <t>Balance Tests</t>
  </si>
  <si>
    <t>Balance Health Metrics</t>
  </si>
  <si>
    <t>Analysis_Coverage</t>
  </si>
  <si>
    <t>Testing_Backlog_Rate</t>
  </si>
  <si>
    <t>Balance Effect</t>
  </si>
  <si>
    <t>Blocked_Risk_Rate</t>
  </si>
  <si>
    <t>Undead Combined DPS Reduction</t>
  </si>
  <si>
    <t>Retest_Rate</t>
  </si>
  <si>
    <t>Reassemble Effective HP Increase</t>
  </si>
  <si>
    <t>Resolved_or_Analyzed_Rate</t>
  </si>
  <si>
    <t>Stone Skin Damage Reduction</t>
  </si>
  <si>
    <t>Scenarios_Per_Unit</t>
  </si>
  <si>
    <t>Bone Smash / Focused Bolt Charge</t>
  </si>
  <si>
    <t>Version</t>
  </si>
  <si>
    <t xml:space="preserve">Change_ID </t>
  </si>
  <si>
    <t xml:space="preserve">Unit_ID </t>
  </si>
  <si>
    <t>Interactions_Per_Unit</t>
  </si>
  <si>
    <t xml:space="preserve">Old_Value </t>
  </si>
  <si>
    <t xml:space="preserve">New_Value </t>
  </si>
  <si>
    <t xml:space="preserve">Reason </t>
  </si>
  <si>
    <t>Expected_Effect</t>
  </si>
  <si>
    <t>Related_Risk</t>
  </si>
  <si>
    <t>v0.2</t>
  </si>
  <si>
    <t>CHG_001</t>
  </si>
  <si>
    <t>Skeleton Swordsman provided too much value for its low cost due to Reassemble</t>
  </si>
  <si>
    <t>Blood Rush DPS Increase under Curse</t>
  </si>
  <si>
    <t>Reduce Skeleton cost efficiency while preserving its disposable frontline identity</t>
  </si>
  <si>
    <t>CHG_002</t>
  </si>
  <si>
    <t>Blood_Rush_Attack_Speed_Bonus</t>
  </si>
  <si>
    <t>Blood Rush did not create a strong enough temporary offensive window</t>
  </si>
  <si>
    <t>Increase Goblin threat during Blood Rush without increasing its permanent DPS</t>
  </si>
  <si>
    <t>Tests_Per_Risk</t>
  </si>
  <si>
    <t>Risk_Status_Check</t>
  </si>
  <si>
    <t>Roster_Structure_Check</t>
  </si>
  <si>
    <t>Key Findings</t>
  </si>
  <si>
    <t>Source</t>
  </si>
  <si>
    <t>Calculated Evidence</t>
  </si>
  <si>
    <t>Balance Meaning</t>
  </si>
  <si>
    <t>Priority / Next Step</t>
  </si>
  <si>
    <t>Undead Debuff Synergy</t>
  </si>
  <si>
    <t>RISK_001 / SCN_005</t>
  </si>
  <si>
    <t>Combined modifier = (1-15%)*(1-20%) = 0.68; sustained DPS reduced by 32%</t>
  </si>
  <si>
    <t>Cursed Spear + Curse can substantially suppress sustained enemy damage</t>
  </si>
  <si>
    <t>High — Playtest against multiple attacker archetypes</t>
  </si>
  <si>
    <t>Reassemble Sustain</t>
  </si>
  <si>
    <t>RISK_004 / SCN_006</t>
  </si>
  <si>
    <t>Effective Skeleton HP = 800*(1+35%) = 1080; +280 theoretical HP</t>
  </si>
  <si>
    <t>Reassemble significantly increases Skeleton frontline persistence</t>
  </si>
  <si>
    <t>High — Validate Reassemble success rate in realistic combat</t>
  </si>
  <si>
    <t>Death Feast Sustain</t>
  </si>
  <si>
    <t>RISK_004 / SCN_007; SCN_008</t>
  </si>
  <si>
    <t>Heal per death = 1440*3% = 43.2 HP; heal cap = 1440*6% = 86.4 HP/sec</t>
  </si>
  <si>
    <t>Bone Dragon sustain strongly depends on nearby death frequency</t>
  </si>
  <si>
    <t>High — Simulate repeated nearby deaths</t>
  </si>
  <si>
    <t>RISK_006 / SCN_009</t>
  </si>
  <si>
    <t>Multiplicative modifier = 1.5*0.8 = 1.2; effective DPS = 75*1.2 = 90</t>
  </si>
  <si>
    <t>Curse partially offsets Blood Rush but does not completely cancel it</t>
  </si>
  <si>
    <t>High — Compare modifier stacking models</t>
  </si>
  <si>
    <t>Focused Bolt vs Stone Skin</t>
  </si>
  <si>
    <t>Focused Bolt = 132*2.5 = 330 damage; after 40% reduction = 330*(1-40%) = 198 damage</t>
  </si>
  <si>
    <t>Stone Skin creates a meaningful defensive timing window</t>
  </si>
  <si>
    <t>Medium — Validate timing interaction in combat testing</t>
  </si>
  <si>
    <t>Knife Barrage Burst</t>
  </si>
  <si>
    <t>Maximum barrage damage = 132*2.25 = 297 damage</t>
  </si>
  <si>
    <t>Full Barrage provides meaningful burst but requires all knives to connect</t>
  </si>
  <si>
    <t>Medium — Measure hit reliability against moving targets</t>
  </si>
  <si>
    <t>Bone Smash Interrupt</t>
  </si>
  <si>
    <t>Stun / charge ratio = 1.5/2 = 0.75 = 75%</t>
  </si>
  <si>
    <t>Bone Smash can disrupt a large part of the Focused Bolt charge window</t>
  </si>
  <si>
    <t>Medium — Test practical interrupt timing</t>
  </si>
  <si>
    <t>Current Limitations</t>
  </si>
  <si>
    <t>Reason</t>
  </si>
  <si>
    <t>Required Data / Action</t>
  </si>
  <si>
    <t>Cursed Spear Time-to-Proc requires playtest validation</t>
  </si>
  <si>
    <t>Calculated Time-to-Proc = 2.4 sec; practical reliability is not validated</t>
  </si>
  <si>
    <t>Validate 2.4-sec Time-to-Proc against burst windows and realistic target movement</t>
  </si>
  <si>
    <t>Arcane Shield survivability requires playtest validation</t>
  </si>
  <si>
    <t>Shield_Amount = 350 HP; theoretical survivability impact has been calculated</t>
  </si>
  <si>
    <t>Playtest Guardian Roar + Arcane Shield against burst and sustained damage</t>
  </si>
  <si>
    <t>Multi-Troll CC chain is not quantified</t>
  </si>
  <si>
    <t>Current scenario covers one Bone Smash</t>
  </si>
  <si>
    <t>Create scenarios with 1, 2 and 3 Boneclub Trolls</t>
  </si>
  <si>
    <t>Combat scenarios are deterministic</t>
  </si>
  <si>
    <t>Current calculations do not include movement, targeting variance or player execution</t>
  </si>
  <si>
    <t>Validate spreadsheet findings through simulation and playtest-style scenarios</t>
  </si>
  <si>
    <t>Ability hit reliability is incomplete</t>
  </si>
  <si>
    <t>Maximum theoretical damage does not guarantee all attacks connect</t>
  </si>
  <si>
    <t>Add hit-rate assumptions or simulation for Knife Barrage and other conditional abilities</t>
  </si>
  <si>
    <t>Next Phase</t>
  </si>
  <si>
    <t>Objective</t>
  </si>
  <si>
    <t>Spreadsheet Validation</t>
  </si>
  <si>
    <t>Check formulas, references, units and missing parameters</t>
  </si>
  <si>
    <t>Data Export</t>
  </si>
  <si>
    <t>Prepare clean CSV datasets for programmatic analysis</t>
  </si>
  <si>
    <t>Python Analysis</t>
  </si>
  <si>
    <t>Load balance datasets with pandas and reproduce spreadsheet metrics</t>
  </si>
  <si>
    <t>Simulation</t>
  </si>
  <si>
    <t>Model combat outcomes, conditional abilities and repeated scenarios</t>
  </si>
  <si>
    <t>Visualization</t>
  </si>
  <si>
    <t>Create portfolio-ready balance charts</t>
  </si>
  <si>
    <t>Balance Iteration</t>
  </si>
  <si>
    <t>Use analysis results to propose and document justified balance changes</t>
  </si>
  <si>
    <t>Test_ID</t>
  </si>
  <si>
    <t>Old_Value</t>
  </si>
  <si>
    <t>New_Value</t>
  </si>
  <si>
    <t>Result</t>
  </si>
  <si>
    <t>Conclusion</t>
  </si>
  <si>
    <t>Reference_Metric</t>
  </si>
  <si>
    <t>TEST_001</t>
  </si>
  <si>
    <t>Improved</t>
  </si>
  <si>
    <t>Cost increase reduced Skeleton base HP efficiency by approximately 11.8%</t>
  </si>
  <si>
    <t>Skeleton_v0.1_Effective_HP_per_Cost</t>
  </si>
  <si>
    <t>TEST_002</t>
  </si>
  <si>
    <t>Effective_HP_per_Cost</t>
  </si>
  <si>
    <t>Cost increase reduced theoretical Reassemble-adjusted HP efficiency while preserving the unit mechanic</t>
  </si>
  <si>
    <t>Skeleton_v0.2_Effective_HP_per_Cost</t>
  </si>
  <si>
    <t>TEST_003</t>
  </si>
  <si>
    <t>Blood_Rush_DPS</t>
  </si>
  <si>
    <t>Blood Rush DPS increased by approximately 15.4%</t>
  </si>
  <si>
    <t>Elven_Swordsman_HP_per_Cost</t>
  </si>
  <si>
    <t>TEST_004</t>
  </si>
  <si>
    <t>Blood_Rush_Damage_4s</t>
  </si>
  <si>
    <t>Theoretical damage during the 4-second Blood Rush window increased from 390 to 450</t>
  </si>
  <si>
    <t>Goblin_Base_DPS</t>
  </si>
  <si>
    <t>TEST_005</t>
  </si>
  <si>
    <t>ALL_INFANTRY</t>
  </si>
  <si>
    <t>Role_Benchmark</t>
  </si>
  <si>
    <t>Passed</t>
  </si>
  <si>
    <t>All Infantry remain within ±20% role efficiency threshold</t>
  </si>
  <si>
    <t>Goblin_v0.1_Blood_Rush_DPS</t>
  </si>
  <si>
    <t>TEST_006</t>
  </si>
  <si>
    <t>ALL_TANK</t>
  </si>
  <si>
    <t>All Tanks remain within ±20% role efficiency threshold</t>
  </si>
  <si>
    <t>Goblin_v0.2_Blood_Rush_DPS</t>
  </si>
  <si>
    <t>TEST_007</t>
  </si>
  <si>
    <t>ALL_RANGED</t>
  </si>
  <si>
    <t>All Ranged units remain within ±20% role efficiency threshold</t>
  </si>
  <si>
    <t>TEST_008</t>
  </si>
  <si>
    <t>ALL_SUPPORT</t>
  </si>
  <si>
    <t>All Supports remain within ±20% role efficiency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</si>
</sst>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/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Analysis Progress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Balance_Summary!$H$9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Balance_Summary!$G$10:$G$15</c:f>
              <c:strCache>
                <c:ptCount val="6"/>
                <c:pt idx="0">
                  <c:v>Analyzed Risks</c:v>
                </c:pt>
                <c:pt idx="1">
                  <c:v>Not Tested Risks</c:v>
                </c:pt>
                <c:pt idx="2">
                  <c:v>Blocked Risks</c:v>
                </c:pt>
                <c:pt idx="3">
                  <c:v>Retest Required</c:v>
                </c:pt>
                <c:pt idx="4">
                  <c:v>Combat Scenarios</c:v>
                </c:pt>
                <c:pt idx="5">
                  <c:v>Balance Tests</c:v>
                </c:pt>
              </c:strCache>
            </c:strRef>
          </c:cat>
          <c:val>
            <c:numRef>
              <c:f>Balance_Summary!$H$10:$H$15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0</c:v>
                </c:pt>
                <c:pt idx="3">
                  <c:v>2</c:v>
                </c:pt>
                <c:pt idx="4">
                  <c:v>13</c:v>
                </c:pt>
                <c:pt idx="5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890504"/>
        <c:axId val="506890112"/>
      </c:barChart>
      <c:catAx>
        <c:axId val="50689050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Testing Metric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506890112"/>
        <c:crosses val="autoZero"/>
        <c:auto val="1"/>
        <c:lblAlgn val="ctr"/>
        <c:lblOffset val="100"/>
        <c:noMultiLvlLbl val="1"/>
      </c:catAx>
      <c:valAx>
        <c:axId val="50689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89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36687673745025E-2"/>
          <c:y val="0.80817362256595393"/>
          <c:w val="0.927236720178924"/>
          <c:h val="0.16020582407436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Risk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Balance_Summary!$H$2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Balance_Summary!$G$3:$G$6</c:f>
              <c:strCache>
                <c:ptCount val="4"/>
                <c:pt idx="0">
                  <c:v>Analyzed — Needs Playtest</c:v>
                </c:pt>
                <c:pt idx="1">
                  <c:v>Not Tested</c:v>
                </c:pt>
                <c:pt idx="2">
                  <c:v>Blocked by Missing Parameter</c:v>
                </c:pt>
                <c:pt idx="3">
                  <c:v>Adjusted — Retest Required</c:v>
                </c:pt>
              </c:strCache>
            </c:strRef>
          </c:cat>
          <c:val>
            <c:numRef>
              <c:f>Balance_Summary!$H$3:$H$6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47769028871394E-2"/>
          <c:y val="0.80271514841132663"/>
          <c:w val="0.94390446194225719"/>
          <c:h val="0.164764526385421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Ability &amp; Combat Effects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036673215455135E-2"/>
          <c:y val="0.14736849335050625"/>
          <c:w val="0.88506226505576779"/>
          <c:h val="0.5648180914896553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Balance_Summary!$H$18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cat>
            <c:strRef>
              <c:f>Balance_Summary!$G$19:$G$23</c:f>
              <c:strCache>
                <c:ptCount val="5"/>
                <c:pt idx="0">
                  <c:v>Undead Combined DPS Reduction</c:v>
                </c:pt>
                <c:pt idx="1">
                  <c:v>Reassemble Effective HP Increase</c:v>
                </c:pt>
                <c:pt idx="2">
                  <c:v>Stone Skin Damage Reduction</c:v>
                </c:pt>
                <c:pt idx="3">
                  <c:v>Bone Smash / Focused Bolt Charge</c:v>
                </c:pt>
                <c:pt idx="4">
                  <c:v>Blood Rush DPS Increase under Curse</c:v>
                </c:pt>
              </c:strCache>
            </c:strRef>
          </c:cat>
          <c:val>
            <c:numRef>
              <c:f>Balance_Summary!$H$19:$H$23</c:f>
              <c:numCache>
                <c:formatCode>General</c:formatCode>
                <c:ptCount val="5"/>
                <c:pt idx="0">
                  <c:v>0.32</c:v>
                </c:pt>
                <c:pt idx="1">
                  <c:v>0.35</c:v>
                </c:pt>
                <c:pt idx="2">
                  <c:v>0.4</c:v>
                </c:pt>
                <c:pt idx="3">
                  <c:v>0.75</c:v>
                </c:pt>
                <c:pt idx="4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6891680"/>
        <c:axId val="506889328"/>
      </c:barChart>
      <c:catAx>
        <c:axId val="506891680"/>
        <c:scaling>
          <c:orientation val="maxMin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Balance Effect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506889328"/>
        <c:crosses val="autoZero"/>
        <c:auto val="1"/>
        <c:lblAlgn val="ctr"/>
        <c:lblOffset val="100"/>
        <c:noMultiLvlLbl val="1"/>
      </c:catAx>
      <c:valAx>
        <c:axId val="50688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89168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24124292911323E-2"/>
          <c:y val="0.83200306391507384"/>
          <c:w val="0.9515173078807192"/>
          <c:h val="0.1606951236358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714374</xdr:colOff>
      <xdr:row>1</xdr:row>
      <xdr:rowOff>9524</xdr:rowOff>
    </xdr:from>
    <xdr:ext cx="5153025" cy="2409825"/>
    <xdr:graphicFrame macro="">
      <xdr:nvGraphicFramePr>
        <xdr:cNvPr id="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38100</xdr:colOff>
      <xdr:row>0</xdr:row>
      <xdr:rowOff>190500</xdr:rowOff>
    </xdr:from>
    <xdr:ext cx="3810000" cy="2343150"/>
    <xdr:graphicFrame macro="">
      <xdr:nvGraphicFramePr>
        <xdr:cNvPr id="3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809624</xdr:colOff>
      <xdr:row>13</xdr:row>
      <xdr:rowOff>152399</xdr:rowOff>
    </xdr:from>
    <xdr:ext cx="4848225" cy="3057526"/>
    <xdr:graphicFrame macro="">
      <xdr:nvGraphicFramePr>
        <xdr:cNvPr id="4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7.42578125" customWidth="1"/>
    <col min="3" max="3" width="16.140625" customWidth="1"/>
    <col min="6" max="6" width="14.28515625" customWidth="1"/>
    <col min="7" max="7" width="14.85546875" customWidth="1"/>
    <col min="12" max="12" width="15" customWidth="1"/>
    <col min="16" max="16" width="17.7109375" customWidth="1"/>
  </cols>
  <sheetData>
    <row r="1" spans="1:14" x14ac:dyDescent="0.2">
      <c r="A1" s="2" t="s">
        <v>0</v>
      </c>
      <c r="B1" s="2" t="s">
        <v>2</v>
      </c>
      <c r="C1" s="2" t="s">
        <v>1</v>
      </c>
      <c r="D1" s="2" t="s">
        <v>8</v>
      </c>
      <c r="E1" s="2" t="s">
        <v>10</v>
      </c>
      <c r="F1" s="3" t="s">
        <v>13</v>
      </c>
      <c r="G1" s="3" t="s">
        <v>17</v>
      </c>
      <c r="H1" s="3" t="s">
        <v>20</v>
      </c>
      <c r="I1" s="3" t="s">
        <v>25</v>
      </c>
      <c r="J1" s="3" t="s">
        <v>29</v>
      </c>
      <c r="K1" s="3" t="s">
        <v>33</v>
      </c>
      <c r="L1" s="3" t="s">
        <v>36</v>
      </c>
      <c r="M1" s="3" t="s">
        <v>40</v>
      </c>
      <c r="N1" s="3" t="s">
        <v>43</v>
      </c>
    </row>
    <row r="2" spans="1:14" x14ac:dyDescent="0.2">
      <c r="A2" s="4" t="s">
        <v>7</v>
      </c>
      <c r="B2" s="3" t="s">
        <v>49</v>
      </c>
      <c r="C2" s="4" t="s">
        <v>19</v>
      </c>
      <c r="D2" s="4" t="s">
        <v>50</v>
      </c>
      <c r="E2" s="4" t="s">
        <v>51</v>
      </c>
      <c r="F2" s="5">
        <f>VLOOKUP("Baseline_HP",Balance_Config!$A:$B,2,FALSE)*VLOOKUP(D2&amp;"_HP_Modifier",Balance_Config!$A:$B,2,FALSE)*IFERROR(VLOOKUP(A2&amp;"_HP_Modifier",Balance_Config!$A:$B,2,FALSE),1)</f>
        <v>800</v>
      </c>
      <c r="G2" s="5">
        <f>VLOOKUP("Baseline_DPS",Balance_Config!$A:$B,2,FALSE)*VLOOKUP(D2&amp;"_DPS_Modifier",Balance_Config!$A:$B,2,FALSE)*IFERROR(VLOOKUP(A2&amp;"_DPS_Modifier",Balance_Config!$A:$B,2,FALSE),1)*H2</f>
        <v>81</v>
      </c>
      <c r="H2" s="5">
        <f>VLOOKUP("Baseline_Attack_Interval",Balance_Config!$A:$B,2,FALSE)*VLOOKUP(D2&amp;"_Attack_Interval_Modifier",Balance_Config!$A:$B,2,FALSE)*IFERROR(VLOOKUP(A2&amp;"_Attack_Interval_Modifier",Balance_Config!$A:$B,2,FALSE),1)</f>
        <v>0.9</v>
      </c>
      <c r="I2" s="5">
        <f t="shared" ref="I2:I13" si="0">G2/H2</f>
        <v>90</v>
      </c>
      <c r="J2" s="5">
        <f>IF(E2="Melee",VLOOKUP("Baseline_Melee_Range",Balance_Config!$A:$B,2,FALSE),VLOOKUP("Baseline_Ranged_Range",Balance_Config!$A:$B,2,FALSE))*IFERROR(VLOOKUP(A2&amp;"_Range_Modifier",Balance_Config!$A:$B,2,FALSE),1)</f>
        <v>1</v>
      </c>
      <c r="K2" s="5">
        <f>VLOOKUP("Baseline_Move_Speed",Balance_Config!$A:$B,2,FALSE)*IFERROR(VLOOKUP(A2&amp;"_Move_Speed_Modifier",Balance_Config!$A:$B,2,FALSE),1)</f>
        <v>2</v>
      </c>
      <c r="L2" s="5">
        <v>85</v>
      </c>
      <c r="M2" s="5">
        <f t="shared" ref="M2:M14" si="1">IF(OR(F2="",L2="",L2=0),"",F2/L2)</f>
        <v>9.4117647058823533</v>
      </c>
      <c r="N2" s="5">
        <f t="shared" ref="N2:N14" si="2">IF(OR(I2="",L2="",L2=0),"",I2/L2)</f>
        <v>1.0588235294117647</v>
      </c>
    </row>
    <row r="3" spans="1:14" x14ac:dyDescent="0.2">
      <c r="A3" s="4" t="s">
        <v>56</v>
      </c>
      <c r="B3" s="3" t="s">
        <v>151</v>
      </c>
      <c r="C3" s="4" t="s">
        <v>19</v>
      </c>
      <c r="D3" s="4" t="s">
        <v>153</v>
      </c>
      <c r="E3" s="4" t="s">
        <v>51</v>
      </c>
      <c r="F3" s="5">
        <f>VLOOKUP("Baseline_HP",Balance_Config!$A:$B,2,FALSE)*VLOOKUP(D3&amp;"_HP_Modifier",Balance_Config!$A:$B,2,FALSE)*IFERROR(VLOOKUP(A3&amp;"_HP_Modifier",Balance_Config!$A:$B,2,FALSE),1)</f>
        <v>1440</v>
      </c>
      <c r="G3" s="5">
        <f>VLOOKUP("Baseline_DPS",Balance_Config!$A:$B,2,FALSE)*VLOOKUP(D3&amp;"_DPS_Modifier",Balance_Config!$A:$B,2,FALSE)*IFERROR(VLOOKUP(A3&amp;"_DPS_Modifier",Balance_Config!$A:$B,2,FALSE),1)*H3</f>
        <v>96</v>
      </c>
      <c r="H3" s="5">
        <f>VLOOKUP("Baseline_Attack_Interval",Balance_Config!$A:$B,2,FALSE)*VLOOKUP(D3&amp;"_Attack_Interval_Modifier",Balance_Config!$A:$B,2,FALSE)*IFERROR(VLOOKUP(A3&amp;"_Attack_Interval_Modifier",Balance_Config!$A:$B,2,FALSE),1)</f>
        <v>1.6</v>
      </c>
      <c r="I3" s="5">
        <f t="shared" si="0"/>
        <v>60</v>
      </c>
      <c r="J3" s="5">
        <f>IF(E3="Melee",VLOOKUP("Baseline_Melee_Range",Balance_Config!$A:$B,2,FALSE),VLOOKUP("Baseline_Ranged_Range",Balance_Config!$A:$B,2,FALSE))*IFERROR(VLOOKUP(A3&amp;"_Range_Modifier",Balance_Config!$A:$B,2,FALSE),1)</f>
        <v>1</v>
      </c>
      <c r="K3" s="5">
        <f>VLOOKUP("Baseline_Move_Speed",Balance_Config!$A:$B,2,FALSE)*IFERROR(VLOOKUP(A3&amp;"_Move_Speed_Modifier",Balance_Config!$A:$B,2,FALSE),1)</f>
        <v>1.4</v>
      </c>
      <c r="L3" s="3">
        <v>140</v>
      </c>
      <c r="M3" s="5">
        <f t="shared" si="1"/>
        <v>10.285714285714286</v>
      </c>
      <c r="N3" s="5">
        <f t="shared" si="2"/>
        <v>0.42857142857142855</v>
      </c>
    </row>
    <row r="4" spans="1:14" x14ac:dyDescent="0.2">
      <c r="A4" s="4" t="s">
        <v>60</v>
      </c>
      <c r="B4" s="3" t="s">
        <v>167</v>
      </c>
      <c r="C4" s="4" t="s">
        <v>19</v>
      </c>
      <c r="D4" s="4" t="s">
        <v>168</v>
      </c>
      <c r="E4" s="4" t="s">
        <v>168</v>
      </c>
      <c r="F4" s="5">
        <f>VLOOKUP("Baseline_HP",Balance_Config!$A:$B,2,FALSE)*VLOOKUP(D4&amp;"_HP_Modifier",Balance_Config!$A:$B,2,FALSE)*IFERROR(VLOOKUP(A4&amp;"_HP_Modifier",Balance_Config!$A:$B,2,FALSE),1)</f>
        <v>800</v>
      </c>
      <c r="G4" s="5">
        <f>VLOOKUP("Baseline_DPS",Balance_Config!$A:$B,2,FALSE)*VLOOKUP(D4&amp;"_DPS_Modifier",Balance_Config!$A:$B,2,FALSE)*IFERROR(VLOOKUP(A4&amp;"_DPS_Modifier",Balance_Config!$A:$B,2,FALSE),1)*H4</f>
        <v>132</v>
      </c>
      <c r="H4" s="5">
        <f>VLOOKUP("Baseline_Attack_Interval",Balance_Config!$A:$B,2,FALSE)*VLOOKUP(D4&amp;"_Attack_Interval_Modifier",Balance_Config!$A:$B,2,FALSE)*IFERROR(VLOOKUP(A4&amp;"_Attack_Interval_Modifier",Balance_Config!$A:$B,2,FALSE),1)</f>
        <v>1.2</v>
      </c>
      <c r="I4" s="5">
        <f t="shared" si="0"/>
        <v>110</v>
      </c>
      <c r="J4" s="5">
        <f>IF(E4="Melee",VLOOKUP("Baseline_Melee_Range",Balance_Config!$A:$B,2,FALSE),VLOOKUP("Baseline_Ranged_Range",Balance_Config!$A:$B,2,FALSE))*IFERROR(VLOOKUP(A4&amp;"_Range_Modifier",Balance_Config!$A:$B,2,FALSE),1)</f>
        <v>5</v>
      </c>
      <c r="K4" s="5">
        <f>VLOOKUP("Baseline_Move_Speed",Balance_Config!$A:$B,2,FALSE)*IFERROR(VLOOKUP(A4&amp;"_Move_Speed_Modifier",Balance_Config!$A:$B,2,FALSE),1)</f>
        <v>2.2000000000000002</v>
      </c>
      <c r="L4" s="3">
        <v>95</v>
      </c>
      <c r="M4" s="5">
        <f t="shared" si="1"/>
        <v>8.4210526315789469</v>
      </c>
      <c r="N4" s="5">
        <f t="shared" si="2"/>
        <v>1.1578947368421053</v>
      </c>
    </row>
    <row r="5" spans="1:14" x14ac:dyDescent="0.2">
      <c r="A5" s="4" t="s">
        <v>67</v>
      </c>
      <c r="B5" s="3" t="s">
        <v>214</v>
      </c>
      <c r="C5" s="4" t="s">
        <v>19</v>
      </c>
      <c r="D5" s="4" t="s">
        <v>216</v>
      </c>
      <c r="E5" s="4" t="s">
        <v>168</v>
      </c>
      <c r="F5" s="5">
        <f>VLOOKUP("Baseline_HP",Balance_Config!$A:$B,2,FALSE)*VLOOKUP(D5&amp;"_HP_Modifier",Balance_Config!$A:$B,2,FALSE)*IFERROR(VLOOKUP(A5&amp;"_HP_Modifier",Balance_Config!$A:$B,2,FALSE),1)</f>
        <v>700</v>
      </c>
      <c r="G5" s="5">
        <f>VLOOKUP("Baseline_DPS",Balance_Config!$A:$B,2,FALSE)*VLOOKUP(D5&amp;"_DPS_Modifier",Balance_Config!$A:$B,2,FALSE)*IFERROR(VLOOKUP(A5&amp;"_DPS_Modifier",Balance_Config!$A:$B,2,FALSE),1)*H5</f>
        <v>98</v>
      </c>
      <c r="H5" s="5">
        <f>VLOOKUP("Baseline_Attack_Interval",Balance_Config!$A:$B,2,FALSE)*VLOOKUP(D5&amp;"_Attack_Interval_Modifier",Balance_Config!$A:$B,2,FALSE)*IFERROR(VLOOKUP(A5&amp;"_Attack_Interval_Modifier",Balance_Config!$A:$B,2,FALSE),1)</f>
        <v>1.4</v>
      </c>
      <c r="I5" s="5">
        <f t="shared" si="0"/>
        <v>70</v>
      </c>
      <c r="J5" s="5">
        <f>IF(E5="Melee",VLOOKUP("Baseline_Melee_Range",Balance_Config!$A:$B,2,FALSE),VLOOKUP("Baseline_Ranged_Range",Balance_Config!$A:$B,2,FALSE))*IFERROR(VLOOKUP(A5&amp;"_Range_Modifier",Balance_Config!$A:$B,2,FALSE),1)</f>
        <v>5</v>
      </c>
      <c r="K5" s="5">
        <f>VLOOKUP("Baseline_Move_Speed",Balance_Config!$A:$B,2,FALSE)*IFERROR(VLOOKUP(A5&amp;"_Move_Speed_Modifier",Balance_Config!$A:$B,2,FALSE),1)</f>
        <v>1.6</v>
      </c>
      <c r="L5" s="3">
        <v>110</v>
      </c>
      <c r="M5" s="5">
        <f t="shared" si="1"/>
        <v>6.3636363636363633</v>
      </c>
      <c r="N5" s="5">
        <f t="shared" si="2"/>
        <v>0.63636363636363635</v>
      </c>
    </row>
    <row r="6" spans="1:14" x14ac:dyDescent="0.2">
      <c r="A6" s="4" t="s">
        <v>84</v>
      </c>
      <c r="B6" s="3" t="s">
        <v>263</v>
      </c>
      <c r="C6" s="3" t="s">
        <v>30</v>
      </c>
      <c r="D6" s="4" t="s">
        <v>50</v>
      </c>
      <c r="E6" s="4" t="s">
        <v>51</v>
      </c>
      <c r="F6" s="5">
        <f>VLOOKUP("Baseline_HP",Balance_Config!$A:$B,2,FALSE)*VLOOKUP(D6&amp;"_HP_Modifier",Balance_Config!$A:$B,2,FALSE)*IFERROR(VLOOKUP(A6&amp;"_HP_Modifier",Balance_Config!$A:$B,2,FALSE),1)</f>
        <v>950</v>
      </c>
      <c r="G6" s="5">
        <f>VLOOKUP("Baseline_DPS",Balance_Config!$A:$B,2,FALSE)*VLOOKUP(D6&amp;"_DPS_Modifier",Balance_Config!$A:$B,2,FALSE)*IFERROR(VLOOKUP(A6&amp;"_DPS_Modifier",Balance_Config!$A:$B,2,FALSE),1)*H6</f>
        <v>80</v>
      </c>
      <c r="H6" s="5">
        <f>VLOOKUP("Baseline_Attack_Interval",Balance_Config!$A:$B,2,FALSE)*VLOOKUP(D6&amp;"_Attack_Interval_Modifier",Balance_Config!$A:$B,2,FALSE)*IFERROR(VLOOKUP(A6&amp;"_Attack_Interval_Modifier",Balance_Config!$A:$B,2,FALSE),1)</f>
        <v>0.8</v>
      </c>
      <c r="I6" s="5">
        <f t="shared" si="0"/>
        <v>100</v>
      </c>
      <c r="J6" s="5">
        <f>IF(E6="Melee",VLOOKUP("Baseline_Melee_Range",Balance_Config!$A:$B,2,FALSE),VLOOKUP("Baseline_Ranged_Range",Balance_Config!$A:$B,2,FALSE))*IFERROR(VLOOKUP(A6&amp;"_Range_Modifier",Balance_Config!$A:$B,2,FALSE),1)</f>
        <v>1</v>
      </c>
      <c r="K6" s="5">
        <f>VLOOKUP("Baseline_Move_Speed",Balance_Config!$A:$B,2,FALSE)*IFERROR(VLOOKUP(A6&amp;"_Move_Speed_Modifier",Balance_Config!$A:$B,2,FALSE),1)</f>
        <v>2.2000000000000002</v>
      </c>
      <c r="L6" s="3">
        <v>100</v>
      </c>
      <c r="M6" s="5">
        <f t="shared" si="1"/>
        <v>9.5</v>
      </c>
      <c r="N6" s="5">
        <f t="shared" si="2"/>
        <v>1</v>
      </c>
    </row>
    <row r="7" spans="1:14" x14ac:dyDescent="0.2">
      <c r="A7" s="4" t="s">
        <v>92</v>
      </c>
      <c r="B7" s="3" t="s">
        <v>357</v>
      </c>
      <c r="C7" s="3" t="s">
        <v>30</v>
      </c>
      <c r="D7" s="4" t="s">
        <v>153</v>
      </c>
      <c r="E7" s="4" t="s">
        <v>51</v>
      </c>
      <c r="F7" s="5">
        <f>VLOOKUP("Baseline_HP",Balance_Config!$A:$B,2,FALSE)*VLOOKUP(D7&amp;"_HP_Modifier",Balance_Config!$A:$B,2,FALSE)*IFERROR(VLOOKUP(A7&amp;"_HP_Modifier",Balance_Config!$A:$B,2,FALSE),1)</f>
        <v>1600</v>
      </c>
      <c r="G7" s="5">
        <f>VLOOKUP("Baseline_DPS",Balance_Config!$A:$B,2,FALSE)*VLOOKUP(D7&amp;"_DPS_Modifier",Balance_Config!$A:$B,2,FALSE)*IFERROR(VLOOKUP(A7&amp;"_DPS_Modifier",Balance_Config!$A:$B,2,FALSE),1)*H7</f>
        <v>96</v>
      </c>
      <c r="H7" s="5">
        <f>VLOOKUP("Baseline_Attack_Interval",Balance_Config!$A:$B,2,FALSE)*VLOOKUP(D7&amp;"_Attack_Interval_Modifier",Balance_Config!$A:$B,2,FALSE)*IFERROR(VLOOKUP(A7&amp;"_Attack_Interval_Modifier",Balance_Config!$A:$B,2,FALSE),1)</f>
        <v>1.6</v>
      </c>
      <c r="I7" s="5">
        <f t="shared" si="0"/>
        <v>60</v>
      </c>
      <c r="J7" s="5">
        <f>IF(E7="Melee",VLOOKUP("Baseline_Melee_Range",Balance_Config!$A:$B,2,FALSE),VLOOKUP("Baseline_Ranged_Range",Balance_Config!$A:$B,2,FALSE))*IFERROR(VLOOKUP(A7&amp;"_Range_Modifier",Balance_Config!$A:$B,2,FALSE),1)</f>
        <v>1</v>
      </c>
      <c r="K7" s="5">
        <f>VLOOKUP("Baseline_Move_Speed",Balance_Config!$A:$B,2,FALSE)*IFERROR(VLOOKUP(A7&amp;"_Move_Speed_Modifier",Balance_Config!$A:$B,2,FALSE),1)</f>
        <v>1.6</v>
      </c>
      <c r="L7" s="3">
        <v>130</v>
      </c>
      <c r="M7" s="5">
        <f t="shared" si="1"/>
        <v>12.307692307692308</v>
      </c>
      <c r="N7" s="5">
        <f t="shared" si="2"/>
        <v>0.46153846153846156</v>
      </c>
    </row>
    <row r="8" spans="1:14" x14ac:dyDescent="0.2">
      <c r="A8" s="4" t="s">
        <v>97</v>
      </c>
      <c r="B8" s="3" t="s">
        <v>358</v>
      </c>
      <c r="C8" s="3" t="s">
        <v>30</v>
      </c>
      <c r="D8" s="4" t="s">
        <v>168</v>
      </c>
      <c r="E8" s="4" t="s">
        <v>168</v>
      </c>
      <c r="F8" s="5">
        <f>VLOOKUP("Baseline_HP",Balance_Config!$A:$B,2,FALSE)*VLOOKUP(D8&amp;"_HP_Modifier",Balance_Config!$A:$B,2,FALSE)*IFERROR(VLOOKUP(A8&amp;"_HP_Modifier",Balance_Config!$A:$B,2,FALSE),1)</f>
        <v>800</v>
      </c>
      <c r="G8" s="5">
        <f>VLOOKUP("Baseline_DPS",Balance_Config!$A:$B,2,FALSE)*VLOOKUP(D8&amp;"_DPS_Modifier",Balance_Config!$A:$B,2,FALSE)*IFERROR(VLOOKUP(A8&amp;"_DPS_Modifier",Balance_Config!$A:$B,2,FALSE),1)*H8</f>
        <v>132</v>
      </c>
      <c r="H8" s="5">
        <f>VLOOKUP("Baseline_Attack_Interval",Balance_Config!$A:$B,2,FALSE)*VLOOKUP(D8&amp;"_Attack_Interval_Modifier",Balance_Config!$A:$B,2,FALSE)*IFERROR(VLOOKUP(A8&amp;"_Attack_Interval_Modifier",Balance_Config!$A:$B,2,FALSE),1)</f>
        <v>1.2</v>
      </c>
      <c r="I8" s="5">
        <f t="shared" si="0"/>
        <v>110</v>
      </c>
      <c r="J8" s="5">
        <f>IF(E8="Melee",VLOOKUP("Baseline_Melee_Range",Balance_Config!$A:$B,2,FALSE),VLOOKUP("Baseline_Ranged_Range",Balance_Config!$A:$B,2,FALSE))*IFERROR(VLOOKUP(A8&amp;"_Range_Modifier",Balance_Config!$A:$B,2,FALSE),1)</f>
        <v>5.5</v>
      </c>
      <c r="K8" s="5">
        <f>VLOOKUP("Baseline_Move_Speed",Balance_Config!$A:$B,2,FALSE)*IFERROR(VLOOKUP(A8&amp;"_Move_Speed_Modifier",Balance_Config!$A:$B,2,FALSE),1)</f>
        <v>1.6</v>
      </c>
      <c r="L8" s="3">
        <v>110</v>
      </c>
      <c r="M8" s="5">
        <f t="shared" si="1"/>
        <v>7.2727272727272725</v>
      </c>
      <c r="N8" s="5">
        <f t="shared" si="2"/>
        <v>1</v>
      </c>
    </row>
    <row r="9" spans="1:14" x14ac:dyDescent="0.2">
      <c r="A9" s="4" t="s">
        <v>101</v>
      </c>
      <c r="B9" s="3" t="s">
        <v>374</v>
      </c>
      <c r="C9" s="3" t="s">
        <v>30</v>
      </c>
      <c r="D9" s="4" t="s">
        <v>216</v>
      </c>
      <c r="E9" s="4" t="s">
        <v>168</v>
      </c>
      <c r="F9" s="5">
        <f>VLOOKUP("Baseline_HP",Balance_Config!$A:$B,2,FALSE)*VLOOKUP(D9&amp;"_HP_Modifier",Balance_Config!$A:$B,2,FALSE)*IFERROR(VLOOKUP(A9&amp;"_HP_Modifier",Balance_Config!$A:$B,2,FALSE),1)</f>
        <v>700</v>
      </c>
      <c r="G9" s="5">
        <f>VLOOKUP("Baseline_DPS",Balance_Config!$A:$B,2,FALSE)*VLOOKUP(D9&amp;"_DPS_Modifier",Balance_Config!$A:$B,2,FALSE)*IFERROR(VLOOKUP(A9&amp;"_DPS_Modifier",Balance_Config!$A:$B,2,FALSE),1)*H9</f>
        <v>98</v>
      </c>
      <c r="H9" s="5">
        <f>VLOOKUP("Baseline_Attack_Interval",Balance_Config!$A:$B,2,FALSE)*VLOOKUP(D9&amp;"_Attack_Interval_Modifier",Balance_Config!$A:$B,2,FALSE)*IFERROR(VLOOKUP(A9&amp;"_Attack_Interval_Modifier",Balance_Config!$A:$B,2,FALSE),1)</f>
        <v>1.4</v>
      </c>
      <c r="I9" s="5">
        <f t="shared" si="0"/>
        <v>70</v>
      </c>
      <c r="J9" s="5">
        <f>IF(E9="Melee",VLOOKUP("Baseline_Melee_Range",Balance_Config!$A:$B,2,FALSE),VLOOKUP("Baseline_Ranged_Range",Balance_Config!$A:$B,2,FALSE))*IFERROR(VLOOKUP(A9&amp;"_Range_Modifier",Balance_Config!$A:$B,2,FALSE),1)</f>
        <v>5</v>
      </c>
      <c r="K9" s="5">
        <f>VLOOKUP("Baseline_Move_Speed",Balance_Config!$A:$B,2,FALSE)*IFERROR(VLOOKUP(A9&amp;"_Move_Speed_Modifier",Balance_Config!$A:$B,2,FALSE),1)</f>
        <v>2</v>
      </c>
      <c r="L9" s="3">
        <v>120</v>
      </c>
      <c r="M9" s="5">
        <f t="shared" si="1"/>
        <v>5.833333333333333</v>
      </c>
      <c r="N9" s="5">
        <f t="shared" si="2"/>
        <v>0.58333333333333337</v>
      </c>
    </row>
    <row r="10" spans="1:14" x14ac:dyDescent="0.2">
      <c r="A10" s="4" t="s">
        <v>106</v>
      </c>
      <c r="B10" s="3" t="s">
        <v>375</v>
      </c>
      <c r="C10" s="4" t="s">
        <v>41</v>
      </c>
      <c r="D10" s="4" t="s">
        <v>50</v>
      </c>
      <c r="E10" s="4" t="s">
        <v>51</v>
      </c>
      <c r="F10" s="5">
        <f>VLOOKUP("Baseline_HP",Balance_Config!$A:$B,2,FALSE)*VLOOKUP(D10&amp;"_HP_Modifier",Balance_Config!$A:$B,2,FALSE)*IFERROR(VLOOKUP(A10&amp;"_HP_Modifier",Balance_Config!$A:$B,2,FALSE),1)</f>
        <v>900</v>
      </c>
      <c r="G10" s="5">
        <f>VLOOKUP("Baseline_DPS",Balance_Config!$A:$B,2,FALSE)*VLOOKUP(D10&amp;"_DPS_Modifier",Balance_Config!$A:$B,2,FALSE)*IFERROR(VLOOKUP(A10&amp;"_DPS_Modifier",Balance_Config!$A:$B,2,FALSE),1)*H10</f>
        <v>71.25</v>
      </c>
      <c r="H10" s="5">
        <f>VLOOKUP("Baseline_Attack_Interval",Balance_Config!$A:$B,2,FALSE)*VLOOKUP(D10&amp;"_Attack_Interval_Modifier",Balance_Config!$A:$B,2,FALSE)*IFERROR(VLOOKUP(A10&amp;"_Attack_Interval_Modifier",Balance_Config!$A:$B,2,FALSE),1)</f>
        <v>0.95</v>
      </c>
      <c r="I10" s="5">
        <f t="shared" si="0"/>
        <v>75</v>
      </c>
      <c r="J10" s="5">
        <f>IF(E10="Melee",VLOOKUP("Baseline_Melee_Range",Balance_Config!$A:$B,2,FALSE),VLOOKUP("Baseline_Ranged_Range",Balance_Config!$A:$B,2,FALSE))*IFERROR(VLOOKUP(A10&amp;"_Range_Modifier",Balance_Config!$A:$B,2,FALSE),1)</f>
        <v>1</v>
      </c>
      <c r="K10" s="5">
        <f>VLOOKUP("Baseline_Move_Speed",Balance_Config!$A:$B,2,FALSE)*IFERROR(VLOOKUP(A10&amp;"_Move_Speed_Modifier",Balance_Config!$A:$B,2,FALSE),1)</f>
        <v>2.4</v>
      </c>
      <c r="L10" s="3">
        <v>90</v>
      </c>
      <c r="M10" s="5">
        <f t="shared" si="1"/>
        <v>10</v>
      </c>
      <c r="N10" s="5">
        <f t="shared" si="2"/>
        <v>0.83333333333333337</v>
      </c>
    </row>
    <row r="11" spans="1:14" x14ac:dyDescent="0.2">
      <c r="A11" s="4" t="s">
        <v>116</v>
      </c>
      <c r="B11" s="3" t="s">
        <v>384</v>
      </c>
      <c r="C11" s="4" t="s">
        <v>41</v>
      </c>
      <c r="D11" s="4" t="s">
        <v>153</v>
      </c>
      <c r="E11" s="4" t="s">
        <v>51</v>
      </c>
      <c r="F11" s="5">
        <f>VLOOKUP("Baseline_HP",Balance_Config!$A:$B,2,FALSE)*VLOOKUP(D11&amp;"_HP_Modifier",Balance_Config!$A:$B,2,FALSE)*IFERROR(VLOOKUP(A11&amp;"_HP_Modifier",Balance_Config!$A:$B,2,FALSE),1)</f>
        <v>1760.0000000000002</v>
      </c>
      <c r="G11" s="5">
        <f>VLOOKUP("Baseline_DPS",Balance_Config!$A:$B,2,FALSE)*VLOOKUP(D11&amp;"_DPS_Modifier",Balance_Config!$A:$B,2,FALSE)*IFERROR(VLOOKUP(A11&amp;"_DPS_Modifier",Balance_Config!$A:$B,2,FALSE),1)*H11</f>
        <v>96</v>
      </c>
      <c r="H11" s="5">
        <f>VLOOKUP("Baseline_Attack_Interval",Balance_Config!$A:$B,2,FALSE)*VLOOKUP(D11&amp;"_Attack_Interval_Modifier",Balance_Config!$A:$B,2,FALSE)*IFERROR(VLOOKUP(A11&amp;"_Attack_Interval_Modifier",Balance_Config!$A:$B,2,FALSE),1)</f>
        <v>1.6</v>
      </c>
      <c r="I11" s="5">
        <f t="shared" si="0"/>
        <v>60</v>
      </c>
      <c r="J11" s="5">
        <f>IF(E11="Melee",VLOOKUP("Baseline_Melee_Range",Balance_Config!$A:$B,2,FALSE),VLOOKUP("Baseline_Ranged_Range",Balance_Config!$A:$B,2,FALSE))*IFERROR(VLOOKUP(A11&amp;"_Range_Modifier",Balance_Config!$A:$B,2,FALSE),1)</f>
        <v>1</v>
      </c>
      <c r="K11" s="5">
        <f>VLOOKUP("Baseline_Move_Speed",Balance_Config!$A:$B,2,FALSE)*IFERROR(VLOOKUP(A11&amp;"_Move_Speed_Modifier",Balance_Config!$A:$B,2,FALSE),1)</f>
        <v>1</v>
      </c>
      <c r="L11" s="3">
        <v>150</v>
      </c>
      <c r="M11" s="5">
        <f t="shared" si="1"/>
        <v>11.733333333333334</v>
      </c>
      <c r="N11" s="5">
        <f t="shared" si="2"/>
        <v>0.4</v>
      </c>
    </row>
    <row r="12" spans="1:14" x14ac:dyDescent="0.2">
      <c r="A12" s="4" t="s">
        <v>127</v>
      </c>
      <c r="B12" s="3" t="s">
        <v>400</v>
      </c>
      <c r="C12" s="4" t="s">
        <v>41</v>
      </c>
      <c r="D12" s="4" t="s">
        <v>168</v>
      </c>
      <c r="E12" s="4" t="s">
        <v>168</v>
      </c>
      <c r="F12" s="5">
        <f>VLOOKUP("Baseline_HP",Balance_Config!$A:$B,2,FALSE)*VLOOKUP(D12&amp;"_HP_Modifier",Balance_Config!$A:$B,2,FALSE)*IFERROR(VLOOKUP(A12&amp;"_HP_Modifier",Balance_Config!$A:$B,2,FALSE),1)</f>
        <v>800</v>
      </c>
      <c r="G12" s="5">
        <f>VLOOKUP("Baseline_DPS",Balance_Config!$A:$B,2,FALSE)*VLOOKUP(D12&amp;"_DPS_Modifier",Balance_Config!$A:$B,2,FALSE)*IFERROR(VLOOKUP(A12&amp;"_DPS_Modifier",Balance_Config!$A:$B,2,FALSE),1)*H12</f>
        <v>132</v>
      </c>
      <c r="H12" s="5">
        <f>VLOOKUP("Baseline_Attack_Interval",Balance_Config!$A:$B,2,FALSE)*VLOOKUP(D12&amp;"_Attack_Interval_Modifier",Balance_Config!$A:$B,2,FALSE)*IFERROR(VLOOKUP(A12&amp;"_Attack_Interval_Modifier",Balance_Config!$A:$B,2,FALSE),1)</f>
        <v>1.2</v>
      </c>
      <c r="I12" s="5">
        <f t="shared" si="0"/>
        <v>110</v>
      </c>
      <c r="J12" s="5">
        <f>IF(E12="Melee",VLOOKUP("Baseline_Melee_Range",Balance_Config!$A:$B,2,FALSE),VLOOKUP("Baseline_Ranged_Range",Balance_Config!$A:$B,2,FALSE))*IFERROR(VLOOKUP(A12&amp;"_Range_Modifier",Balance_Config!$A:$B,2,FALSE),1)</f>
        <v>4</v>
      </c>
      <c r="K12" s="5">
        <f>VLOOKUP("Baseline_Move_Speed",Balance_Config!$A:$B,2,FALSE)*IFERROR(VLOOKUP(A12&amp;"_Move_Speed_Modifier",Balance_Config!$A:$B,2,FALSE),1)</f>
        <v>1.9</v>
      </c>
      <c r="L12" s="3">
        <v>100</v>
      </c>
      <c r="M12" s="5">
        <f t="shared" si="1"/>
        <v>8</v>
      </c>
      <c r="N12" s="5">
        <f t="shared" si="2"/>
        <v>1.1000000000000001</v>
      </c>
    </row>
    <row r="13" spans="1:14" x14ac:dyDescent="0.2">
      <c r="A13" s="4" t="s">
        <v>138</v>
      </c>
      <c r="B13" s="3" t="s">
        <v>421</v>
      </c>
      <c r="C13" s="4" t="s">
        <v>41</v>
      </c>
      <c r="D13" s="4" t="s">
        <v>216</v>
      </c>
      <c r="E13" s="4" t="s">
        <v>51</v>
      </c>
      <c r="F13" s="5">
        <f>VLOOKUP("Baseline_HP",Balance_Config!$A:$B,2,FALSE)*VLOOKUP(D13&amp;"_HP_Modifier",Balance_Config!$A:$B,2,FALSE)*IFERROR(VLOOKUP(A13&amp;"_HP_Modifier",Balance_Config!$A:$B,2,FALSE),1)</f>
        <v>700</v>
      </c>
      <c r="G13" s="5">
        <f>VLOOKUP("Baseline_DPS",Balance_Config!$A:$B,2,FALSE)*VLOOKUP(D13&amp;"_DPS_Modifier",Balance_Config!$A:$B,2,FALSE)*IFERROR(VLOOKUP(A13&amp;"_DPS_Modifier",Balance_Config!$A:$B,2,FALSE),1)*H13</f>
        <v>98</v>
      </c>
      <c r="H13" s="5">
        <f>VLOOKUP("Baseline_Attack_Interval",Balance_Config!$A:$B,2,FALSE)*VLOOKUP(D13&amp;"_Attack_Interval_Modifier",Balance_Config!$A:$B,2,FALSE)*IFERROR(VLOOKUP(A13&amp;"_Attack_Interval_Modifier",Balance_Config!$A:$B,2,FALSE),1)</f>
        <v>1.4</v>
      </c>
      <c r="I13" s="5">
        <f t="shared" si="0"/>
        <v>70</v>
      </c>
      <c r="J13" s="5">
        <f>IF(E13="Melee",VLOOKUP("Baseline_Melee_Range",Balance_Config!$A:$B,2,FALSE),VLOOKUP("Baseline_Ranged_Range",Balance_Config!$A:$B,2,FALSE))*IFERROR(VLOOKUP(A13&amp;"_Range_Modifier",Balance_Config!$A:$B,2,FALSE),1)</f>
        <v>1</v>
      </c>
      <c r="K13" s="5">
        <f>VLOOKUP("Baseline_Move_Speed",Balance_Config!$A:$B,2,FALSE)*IFERROR(VLOOKUP(A13&amp;"_Move_Speed_Modifier",Balance_Config!$A:$B,2,FALSE),1)</f>
        <v>2.6</v>
      </c>
      <c r="L13" s="3">
        <v>100</v>
      </c>
      <c r="M13" s="5">
        <f t="shared" si="1"/>
        <v>7</v>
      </c>
      <c r="N13" s="5">
        <f t="shared" si="2"/>
        <v>0.7</v>
      </c>
    </row>
    <row r="14" spans="1:14" x14ac:dyDescent="0.2">
      <c r="I14" s="3" t="str">
        <f>IF(OR(G14="",H14="",H14=0),"",G14/H14)</f>
        <v/>
      </c>
      <c r="M14" s="6" t="str">
        <f t="shared" si="1"/>
        <v/>
      </c>
      <c r="N14" s="6" t="str">
        <f t="shared" si="2"/>
        <v/>
      </c>
    </row>
  </sheetData>
  <autoFilter ref="A1:E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57"/>
  <sheetViews>
    <sheetView workbookViewId="0"/>
  </sheetViews>
  <sheetFormatPr defaultColWidth="12.5703125" defaultRowHeight="15.75" customHeight="1" x14ac:dyDescent="0.2"/>
  <cols>
    <col min="1" max="1" width="25.7109375" customWidth="1"/>
  </cols>
  <sheetData>
    <row r="1" spans="1:16" x14ac:dyDescent="0.2">
      <c r="A1" s="3" t="s">
        <v>61</v>
      </c>
      <c r="B1" s="3" t="s">
        <v>64</v>
      </c>
      <c r="C1" s="3" t="s">
        <v>65</v>
      </c>
    </row>
    <row r="2" spans="1:16" x14ac:dyDescent="0.2">
      <c r="A2" s="3" t="s">
        <v>68</v>
      </c>
      <c r="B2" s="3">
        <v>1000</v>
      </c>
      <c r="C2" s="3" t="s">
        <v>13</v>
      </c>
    </row>
    <row r="3" spans="1:16" x14ac:dyDescent="0.2">
      <c r="A3" s="3" t="s">
        <v>69</v>
      </c>
      <c r="B3" s="3">
        <v>100</v>
      </c>
      <c r="C3" s="3" t="s">
        <v>70</v>
      </c>
      <c r="P3" s="3"/>
    </row>
    <row r="4" spans="1:16" x14ac:dyDescent="0.2">
      <c r="A4" s="3" t="s">
        <v>71</v>
      </c>
      <c r="B4" s="3">
        <v>100</v>
      </c>
      <c r="C4" s="3" t="s">
        <v>72</v>
      </c>
    </row>
    <row r="5" spans="1:16" x14ac:dyDescent="0.2">
      <c r="A5" s="3" t="s">
        <v>73</v>
      </c>
      <c r="B5" s="3">
        <v>2</v>
      </c>
      <c r="C5" s="3" t="s">
        <v>74</v>
      </c>
    </row>
    <row r="6" spans="1:16" x14ac:dyDescent="0.2">
      <c r="A6" s="3" t="s">
        <v>75</v>
      </c>
      <c r="B6" s="3">
        <v>1</v>
      </c>
      <c r="C6" s="3" t="s">
        <v>76</v>
      </c>
    </row>
    <row r="7" spans="1:16" x14ac:dyDescent="0.2">
      <c r="A7" s="3" t="s">
        <v>77</v>
      </c>
      <c r="B7" s="3">
        <v>5</v>
      </c>
      <c r="C7" s="3" t="s">
        <v>76</v>
      </c>
    </row>
    <row r="8" spans="1:16" x14ac:dyDescent="0.2">
      <c r="A8" s="3" t="s">
        <v>81</v>
      </c>
      <c r="B8" s="3">
        <v>1</v>
      </c>
      <c r="C8" s="3" t="s">
        <v>83</v>
      </c>
    </row>
    <row r="9" spans="1:16" x14ac:dyDescent="0.2">
      <c r="A9" s="3" t="s">
        <v>85</v>
      </c>
      <c r="B9" s="3">
        <v>1</v>
      </c>
      <c r="C9" s="3" t="s">
        <v>86</v>
      </c>
    </row>
    <row r="10" spans="1:16" x14ac:dyDescent="0.2">
      <c r="A10" s="3" t="s">
        <v>87</v>
      </c>
      <c r="B10" s="3">
        <v>1.6</v>
      </c>
      <c r="C10" s="3" t="s">
        <v>86</v>
      </c>
    </row>
    <row r="11" spans="1:16" x14ac:dyDescent="0.2">
      <c r="A11" s="3" t="s">
        <v>88</v>
      </c>
      <c r="B11" s="7">
        <v>0.8</v>
      </c>
      <c r="C11" s="3" t="s">
        <v>86</v>
      </c>
    </row>
    <row r="12" spans="1:16" x14ac:dyDescent="0.2">
      <c r="A12" s="3" t="s">
        <v>90</v>
      </c>
      <c r="B12" s="7">
        <v>0.7</v>
      </c>
      <c r="C12" s="3" t="s">
        <v>86</v>
      </c>
    </row>
    <row r="14" spans="1:16" x14ac:dyDescent="0.2">
      <c r="A14" s="3" t="str">
        <f>"UND_01"&amp;"_HP_Modifier"</f>
        <v>UND_01_HP_Modifier</v>
      </c>
      <c r="B14" s="7">
        <v>0.8</v>
      </c>
      <c r="C14" s="3" t="s">
        <v>86</v>
      </c>
    </row>
    <row r="15" spans="1:16" x14ac:dyDescent="0.2">
      <c r="A15" s="3" t="str">
        <f>"ELF_01"&amp;"_HP_Modifier"</f>
        <v>ELF_01_HP_Modifier</v>
      </c>
      <c r="B15" s="7">
        <v>0.95</v>
      </c>
      <c r="C15" s="3" t="s">
        <v>86</v>
      </c>
    </row>
    <row r="16" spans="1:16" x14ac:dyDescent="0.2">
      <c r="A16" s="3" t="str">
        <f>"HOR_01"&amp;"_HP_Modifier"</f>
        <v>HOR_01_HP_Modifier</v>
      </c>
      <c r="B16" s="7">
        <v>0.9</v>
      </c>
      <c r="C16" s="3" t="s">
        <v>86</v>
      </c>
    </row>
    <row r="18" spans="1:3" x14ac:dyDescent="0.2">
      <c r="A18" s="3" t="str">
        <f>"UND_02"&amp;"_HP_Modifier"</f>
        <v>UND_02_HP_Modifier</v>
      </c>
      <c r="B18" s="3">
        <v>0.9</v>
      </c>
      <c r="C18" s="3" t="s">
        <v>86</v>
      </c>
    </row>
    <row r="19" spans="1:3" x14ac:dyDescent="0.2">
      <c r="A19" s="3" t="str">
        <f>"ELF_02"&amp;"_HP_Modifier"</f>
        <v>ELF_02_HP_Modifier</v>
      </c>
      <c r="B19" s="3">
        <v>1</v>
      </c>
      <c r="C19" s="3" t="s">
        <v>86</v>
      </c>
    </row>
    <row r="20" spans="1:3" x14ac:dyDescent="0.2">
      <c r="A20" s="3" t="str">
        <f>"HOR_02"&amp;"_HP_Modifier"</f>
        <v>HOR_02_HP_Modifier</v>
      </c>
      <c r="B20" s="3">
        <v>1.1000000000000001</v>
      </c>
      <c r="C20" s="3" t="s">
        <v>86</v>
      </c>
    </row>
    <row r="22" spans="1:3" x14ac:dyDescent="0.2">
      <c r="A22" s="3" t="s">
        <v>107</v>
      </c>
      <c r="B22" s="3">
        <v>1</v>
      </c>
      <c r="C22" s="3" t="s">
        <v>86</v>
      </c>
    </row>
    <row r="23" spans="1:3" x14ac:dyDescent="0.2">
      <c r="A23" s="3" t="s">
        <v>108</v>
      </c>
      <c r="B23" s="3">
        <v>1.6</v>
      </c>
      <c r="C23" s="3" t="s">
        <v>86</v>
      </c>
    </row>
    <row r="24" spans="1:3" x14ac:dyDescent="0.2">
      <c r="A24" s="3" t="s">
        <v>109</v>
      </c>
      <c r="B24" s="3">
        <v>1.2</v>
      </c>
      <c r="C24" s="3" t="s">
        <v>86</v>
      </c>
    </row>
    <row r="25" spans="1:3" x14ac:dyDescent="0.2">
      <c r="A25" s="3" t="s">
        <v>110</v>
      </c>
      <c r="B25" s="3">
        <v>1.4</v>
      </c>
      <c r="C25" s="3" t="s">
        <v>86</v>
      </c>
    </row>
    <row r="27" spans="1:3" x14ac:dyDescent="0.2">
      <c r="A27" s="3" t="s">
        <v>111</v>
      </c>
      <c r="B27" s="3">
        <v>0.9</v>
      </c>
      <c r="C27" s="3" t="s">
        <v>86</v>
      </c>
    </row>
    <row r="28" spans="1:3" x14ac:dyDescent="0.2">
      <c r="A28" s="3" t="s">
        <v>115</v>
      </c>
      <c r="B28" s="3">
        <v>0.8</v>
      </c>
      <c r="C28" s="3" t="s">
        <v>86</v>
      </c>
    </row>
    <row r="29" spans="1:3" x14ac:dyDescent="0.2">
      <c r="A29" s="3" t="s">
        <v>117</v>
      </c>
      <c r="B29" s="3">
        <v>0.95</v>
      </c>
      <c r="C29" s="3" t="s">
        <v>86</v>
      </c>
    </row>
    <row r="31" spans="1:3" x14ac:dyDescent="0.2">
      <c r="A31" s="3" t="s">
        <v>118</v>
      </c>
      <c r="B31" s="3">
        <v>1</v>
      </c>
      <c r="C31" s="3" t="s">
        <v>86</v>
      </c>
    </row>
    <row r="32" spans="1:3" x14ac:dyDescent="0.2">
      <c r="A32" s="3" t="s">
        <v>119</v>
      </c>
      <c r="B32" s="3">
        <v>0.6</v>
      </c>
      <c r="C32" s="3" t="s">
        <v>86</v>
      </c>
    </row>
    <row r="33" spans="1:3" x14ac:dyDescent="0.2">
      <c r="A33" s="3" t="s">
        <v>120</v>
      </c>
      <c r="B33" s="3">
        <v>1.1000000000000001</v>
      </c>
      <c r="C33" s="3" t="s">
        <v>86</v>
      </c>
    </row>
    <row r="34" spans="1:3" x14ac:dyDescent="0.2">
      <c r="A34" s="3" t="s">
        <v>121</v>
      </c>
      <c r="B34" s="3">
        <v>0.7</v>
      </c>
      <c r="C34" s="3" t="s">
        <v>86</v>
      </c>
    </row>
    <row r="36" spans="1:3" x14ac:dyDescent="0.2">
      <c r="A36" s="3" t="s">
        <v>125</v>
      </c>
      <c r="B36" s="3">
        <v>0.9</v>
      </c>
      <c r="C36" s="3" t="s">
        <v>86</v>
      </c>
    </row>
    <row r="37" spans="1:3" x14ac:dyDescent="0.2">
      <c r="A37" s="3" t="s">
        <v>128</v>
      </c>
      <c r="B37" s="3">
        <v>1</v>
      </c>
      <c r="C37" s="3" t="s">
        <v>86</v>
      </c>
    </row>
    <row r="38" spans="1:3" x14ac:dyDescent="0.2">
      <c r="A38" s="3" t="s">
        <v>129</v>
      </c>
      <c r="B38" s="3">
        <v>0.75</v>
      </c>
      <c r="C38" s="3" t="s">
        <v>86</v>
      </c>
    </row>
    <row r="40" spans="1:3" x14ac:dyDescent="0.2">
      <c r="A40" s="3" t="s">
        <v>130</v>
      </c>
      <c r="B40" s="3">
        <v>1.1000000000000001</v>
      </c>
      <c r="C40" s="3" t="s">
        <v>86</v>
      </c>
    </row>
    <row r="41" spans="1:3" x14ac:dyDescent="0.2">
      <c r="A41" s="3" t="s">
        <v>131</v>
      </c>
      <c r="B41" s="3">
        <v>0.8</v>
      </c>
      <c r="C41" s="3" t="s">
        <v>86</v>
      </c>
    </row>
    <row r="43" spans="1:3" x14ac:dyDescent="0.2">
      <c r="A43" s="3" t="s">
        <v>132</v>
      </c>
      <c r="B43" s="3">
        <v>1</v>
      </c>
      <c r="C43" s="3" t="s">
        <v>86</v>
      </c>
    </row>
    <row r="44" spans="1:3" x14ac:dyDescent="0.2">
      <c r="A44" s="3" t="s">
        <v>137</v>
      </c>
      <c r="B44" s="3">
        <v>1.1000000000000001</v>
      </c>
      <c r="C44" s="3" t="s">
        <v>86</v>
      </c>
    </row>
    <row r="45" spans="1:3" x14ac:dyDescent="0.2">
      <c r="A45" s="3" t="s">
        <v>139</v>
      </c>
      <c r="B45" s="3">
        <v>1.2</v>
      </c>
      <c r="C45" s="3" t="s">
        <v>86</v>
      </c>
    </row>
    <row r="47" spans="1:3" x14ac:dyDescent="0.2">
      <c r="A47" s="3" t="s">
        <v>140</v>
      </c>
      <c r="B47" s="3">
        <v>0.7</v>
      </c>
      <c r="C47" s="3" t="s">
        <v>86</v>
      </c>
    </row>
    <row r="48" spans="1:3" x14ac:dyDescent="0.2">
      <c r="A48" s="3" t="s">
        <v>141</v>
      </c>
      <c r="B48" s="3">
        <v>0.8</v>
      </c>
      <c r="C48" s="3" t="s">
        <v>86</v>
      </c>
    </row>
    <row r="49" spans="1:3" x14ac:dyDescent="0.2">
      <c r="A49" s="3" t="s">
        <v>142</v>
      </c>
      <c r="B49" s="3">
        <v>0.5</v>
      </c>
      <c r="C49" s="3" t="s">
        <v>86</v>
      </c>
    </row>
    <row r="51" spans="1:3" x14ac:dyDescent="0.2">
      <c r="A51" s="3" t="s">
        <v>143</v>
      </c>
      <c r="B51" s="3">
        <v>1.1000000000000001</v>
      </c>
      <c r="C51" s="3" t="s">
        <v>86</v>
      </c>
    </row>
    <row r="52" spans="1:3" x14ac:dyDescent="0.2">
      <c r="A52" s="3" t="s">
        <v>144</v>
      </c>
      <c r="B52" s="3">
        <v>0.8</v>
      </c>
      <c r="C52" s="3" t="s">
        <v>86</v>
      </c>
    </row>
    <row r="53" spans="1:3" x14ac:dyDescent="0.2">
      <c r="A53" s="3" t="s">
        <v>146</v>
      </c>
      <c r="B53" s="3">
        <v>0.95</v>
      </c>
      <c r="C53" s="3" t="s">
        <v>86</v>
      </c>
    </row>
    <row r="55" spans="1:3" x14ac:dyDescent="0.2">
      <c r="A55" s="3" t="s">
        <v>150</v>
      </c>
      <c r="B55" s="3">
        <v>0.8</v>
      </c>
      <c r="C55" s="3" t="s">
        <v>86</v>
      </c>
    </row>
    <row r="56" spans="1:3" x14ac:dyDescent="0.2">
      <c r="A56" s="3" t="s">
        <v>152</v>
      </c>
      <c r="B56" s="3">
        <v>1</v>
      </c>
      <c r="C56" s="3" t="s">
        <v>86</v>
      </c>
    </row>
    <row r="57" spans="1:3" x14ac:dyDescent="0.2">
      <c r="A57" s="3" t="s">
        <v>154</v>
      </c>
      <c r="B57" s="3">
        <v>1.3</v>
      </c>
      <c r="C57" s="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"/>
  <sheetViews>
    <sheetView workbookViewId="0"/>
  </sheetViews>
  <sheetFormatPr defaultColWidth="12.5703125" defaultRowHeight="15.75" customHeight="1" x14ac:dyDescent="0.2"/>
  <cols>
    <col min="1" max="1" width="18.7109375" customWidth="1"/>
    <col min="2" max="2" width="14.28515625" customWidth="1"/>
    <col min="5" max="5" width="18" customWidth="1"/>
    <col min="6" max="6" width="14.42578125" customWidth="1"/>
    <col min="7" max="7" width="24" customWidth="1"/>
    <col min="8" max="8" width="26.42578125" customWidth="1"/>
  </cols>
  <sheetData>
    <row r="1" spans="1:8" x14ac:dyDescent="0.2">
      <c r="A1" s="3" t="s">
        <v>1</v>
      </c>
      <c r="B1" s="3" t="s">
        <v>9</v>
      </c>
      <c r="C1" s="3" t="s">
        <v>11</v>
      </c>
      <c r="D1" s="3" t="s">
        <v>12</v>
      </c>
      <c r="E1" s="3" t="s">
        <v>14</v>
      </c>
      <c r="F1" s="3" t="s">
        <v>15</v>
      </c>
      <c r="G1" s="3" t="s">
        <v>16</v>
      </c>
      <c r="H1" s="3" t="s">
        <v>18</v>
      </c>
    </row>
    <row r="2" spans="1:8" x14ac:dyDescent="0.2">
      <c r="A2" s="3" t="s">
        <v>19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26</v>
      </c>
      <c r="G2" s="3" t="s">
        <v>27</v>
      </c>
      <c r="H2" s="3" t="s">
        <v>28</v>
      </c>
    </row>
    <row r="3" spans="1:8" x14ac:dyDescent="0.2">
      <c r="A3" s="3" t="s">
        <v>30</v>
      </c>
      <c r="B3" s="3" t="s">
        <v>31</v>
      </c>
      <c r="C3" s="3" t="s">
        <v>32</v>
      </c>
      <c r="D3" s="3" t="s">
        <v>34</v>
      </c>
      <c r="E3" s="3" t="s">
        <v>35</v>
      </c>
      <c r="F3" s="3" t="s">
        <v>37</v>
      </c>
      <c r="G3" s="3" t="s">
        <v>38</v>
      </c>
      <c r="H3" s="3" t="s">
        <v>39</v>
      </c>
    </row>
    <row r="4" spans="1:8" x14ac:dyDescent="0.2">
      <c r="A4" s="3" t="s">
        <v>41</v>
      </c>
      <c r="B4" s="3" t="s">
        <v>42</v>
      </c>
      <c r="C4" s="3" t="s">
        <v>44</v>
      </c>
      <c r="D4" s="3" t="s">
        <v>45</v>
      </c>
      <c r="E4" s="3" t="s">
        <v>46</v>
      </c>
      <c r="F4" s="3" t="s">
        <v>26</v>
      </c>
      <c r="G4" s="3" t="s">
        <v>47</v>
      </c>
      <c r="H4" s="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7.42578125" customWidth="1"/>
    <col min="3" max="3" width="26.85546875" customWidth="1"/>
    <col min="4" max="4" width="21.5703125" customWidth="1"/>
    <col min="5" max="5" width="21.28515625" customWidth="1"/>
    <col min="6" max="6" width="21.85546875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3" t="s">
        <v>7</v>
      </c>
      <c r="B2" s="3" t="str">
        <f>VLOOKUP(A2, Unit_Balance!$A$1:$E$13, 2, FALSE)</f>
        <v>Skeleton Swordsman</v>
      </c>
      <c r="C2" s="3" t="s">
        <v>52</v>
      </c>
      <c r="D2" s="3" t="s">
        <v>53</v>
      </c>
      <c r="E2" s="3" t="s">
        <v>54</v>
      </c>
      <c r="F2" s="3" t="s">
        <v>55</v>
      </c>
    </row>
    <row r="3" spans="1:6" x14ac:dyDescent="0.2">
      <c r="A3" s="3" t="s">
        <v>56</v>
      </c>
      <c r="B3" s="3" t="str">
        <f>VLOOKUP(A3, Unit_Balance!$A$1:$E$13, 2, FALSE)</f>
        <v>Bone Dragon</v>
      </c>
      <c r="C3" s="3" t="s">
        <v>57</v>
      </c>
      <c r="D3" s="3" t="s">
        <v>58</v>
      </c>
      <c r="E3" s="3" t="s">
        <v>26</v>
      </c>
      <c r="F3" s="3" t="s">
        <v>59</v>
      </c>
    </row>
    <row r="4" spans="1:6" x14ac:dyDescent="0.2">
      <c r="A4" s="3" t="s">
        <v>60</v>
      </c>
      <c r="B4" s="3" t="str">
        <f>VLOOKUP(A4, Unit_Balance!$A$1:$E$13, 2, FALSE)</f>
        <v>Spear Devil</v>
      </c>
      <c r="C4" s="3" t="s">
        <v>62</v>
      </c>
      <c r="D4" s="3" t="s">
        <v>63</v>
      </c>
      <c r="E4" s="3" t="s">
        <v>27</v>
      </c>
      <c r="F4" s="3" t="s">
        <v>66</v>
      </c>
    </row>
    <row r="5" spans="1:6" x14ac:dyDescent="0.2">
      <c r="A5" s="3" t="s">
        <v>67</v>
      </c>
      <c r="B5" s="6" t="str">
        <f>VLOOKUP(A5, Unit_Balance!$A$1:$E$13, 2, FALSE)</f>
        <v>Witch</v>
      </c>
      <c r="C5" s="3" t="s">
        <v>78</v>
      </c>
      <c r="D5" s="3" t="s">
        <v>79</v>
      </c>
      <c r="E5" s="3" t="s">
        <v>80</v>
      </c>
      <c r="F5" s="3" t="s">
        <v>82</v>
      </c>
    </row>
    <row r="6" spans="1:6" x14ac:dyDescent="0.2">
      <c r="A6" s="3" t="s">
        <v>84</v>
      </c>
      <c r="B6" s="6" t="str">
        <f>VLOOKUP(A6, Unit_Balance!$A$1:$E$13, 2, FALSE)</f>
        <v>Elven Swordsman</v>
      </c>
      <c r="C6" s="3" t="s">
        <v>89</v>
      </c>
      <c r="D6" s="3" t="s">
        <v>32</v>
      </c>
      <c r="E6" s="3" t="s">
        <v>37</v>
      </c>
      <c r="F6" s="3" t="s">
        <v>91</v>
      </c>
    </row>
    <row r="7" spans="1:6" x14ac:dyDescent="0.2">
      <c r="A7" s="3" t="s">
        <v>92</v>
      </c>
      <c r="B7" s="6" t="str">
        <f>VLOOKUP(A7, Unit_Balance!$A$1:$E$13, 2, FALSE)</f>
        <v>Great Forest Bear</v>
      </c>
      <c r="C7" s="3" t="s">
        <v>93</v>
      </c>
      <c r="D7" s="3" t="s">
        <v>94</v>
      </c>
      <c r="E7" s="3" t="s">
        <v>95</v>
      </c>
      <c r="F7" s="3" t="s">
        <v>96</v>
      </c>
    </row>
    <row r="8" spans="1:6" x14ac:dyDescent="0.2">
      <c r="A8" s="3" t="s">
        <v>97</v>
      </c>
      <c r="B8" s="6" t="str">
        <f>VLOOKUP(A8, Unit_Balance!$A$1:$E$13, 2, FALSE)</f>
        <v>Elven Mage</v>
      </c>
      <c r="C8" s="3" t="s">
        <v>98</v>
      </c>
      <c r="D8" s="3" t="s">
        <v>99</v>
      </c>
      <c r="E8" s="3" t="s">
        <v>80</v>
      </c>
      <c r="F8" s="3" t="s">
        <v>100</v>
      </c>
    </row>
    <row r="9" spans="1:6" x14ac:dyDescent="0.2">
      <c r="A9" s="3" t="s">
        <v>101</v>
      </c>
      <c r="B9" s="6" t="str">
        <f>VLOOKUP(A9, Unit_Balance!$A$1:$E$13, 2, FALSE)</f>
        <v>Elven Scholar</v>
      </c>
      <c r="C9" s="3" t="s">
        <v>102</v>
      </c>
      <c r="D9" s="3" t="s">
        <v>103</v>
      </c>
      <c r="E9" s="3" t="s">
        <v>104</v>
      </c>
      <c r="F9" s="3" t="s">
        <v>105</v>
      </c>
    </row>
    <row r="10" spans="1:6" x14ac:dyDescent="0.2">
      <c r="A10" s="3" t="s">
        <v>106</v>
      </c>
      <c r="B10" s="6" t="str">
        <f>VLOOKUP(A10, Unit_Balance!$A$1:$E$13, 2, FALSE)</f>
        <v>Blade Goblin</v>
      </c>
      <c r="C10" s="3" t="s">
        <v>112</v>
      </c>
      <c r="D10" s="3" t="s">
        <v>113</v>
      </c>
      <c r="E10" s="3" t="s">
        <v>37</v>
      </c>
      <c r="F10" s="3" t="s">
        <v>114</v>
      </c>
    </row>
    <row r="11" spans="1:6" x14ac:dyDescent="0.2">
      <c r="A11" s="3" t="s">
        <v>116</v>
      </c>
      <c r="B11" s="6" t="str">
        <f>VLOOKUP(A11, Unit_Balance!$A$1:$E$13, 2, FALSE)</f>
        <v>Stone Ogre</v>
      </c>
      <c r="C11" s="3" t="s">
        <v>122</v>
      </c>
      <c r="D11" s="3" t="s">
        <v>123</v>
      </c>
      <c r="E11" s="3" t="s">
        <v>124</v>
      </c>
      <c r="F11" s="3" t="s">
        <v>126</v>
      </c>
    </row>
    <row r="12" spans="1:6" x14ac:dyDescent="0.2">
      <c r="A12" s="3" t="s">
        <v>127</v>
      </c>
      <c r="B12" s="6" t="str">
        <f>VLOOKUP(A12, Unit_Balance!$A$1:$E$13, 2, FALSE)</f>
        <v>Orc Thrower</v>
      </c>
      <c r="C12" s="3" t="s">
        <v>133</v>
      </c>
      <c r="D12" s="3" t="s">
        <v>134</v>
      </c>
      <c r="E12" s="3" t="s">
        <v>135</v>
      </c>
      <c r="F12" s="3" t="s">
        <v>136</v>
      </c>
    </row>
    <row r="13" spans="1:6" x14ac:dyDescent="0.2">
      <c r="A13" s="3" t="s">
        <v>138</v>
      </c>
      <c r="B13" s="6" t="str">
        <f>VLOOKUP(A13, Unit_Balance!$A$1:$E$13, 2, FALSE)</f>
        <v>Boneclub Troll</v>
      </c>
      <c r="C13" s="3" t="s">
        <v>145</v>
      </c>
      <c r="D13" s="3" t="s">
        <v>147</v>
      </c>
      <c r="E13" s="3" t="s">
        <v>148</v>
      </c>
      <c r="F13" s="3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1"/>
  <sheetViews>
    <sheetView workbookViewId="0"/>
  </sheetViews>
  <sheetFormatPr defaultColWidth="12.5703125" defaultRowHeight="15.75" customHeight="1" x14ac:dyDescent="0.2"/>
  <cols>
    <col min="5" max="5" width="21" customWidth="1"/>
    <col min="8" max="8" width="17" customWidth="1"/>
    <col min="9" max="9" width="16.42578125" customWidth="1"/>
  </cols>
  <sheetData>
    <row r="1" spans="1:9" x14ac:dyDescent="0.2">
      <c r="A1" s="2" t="s">
        <v>155</v>
      </c>
      <c r="B1" s="2" t="s">
        <v>0</v>
      </c>
      <c r="C1" s="2" t="s">
        <v>156</v>
      </c>
      <c r="D1" s="2" t="s">
        <v>157</v>
      </c>
      <c r="E1" s="2" t="s">
        <v>61</v>
      </c>
      <c r="F1" s="8" t="s">
        <v>64</v>
      </c>
      <c r="G1" s="2" t="s">
        <v>65</v>
      </c>
      <c r="H1" s="2" t="s">
        <v>158</v>
      </c>
      <c r="I1" s="2" t="s">
        <v>159</v>
      </c>
    </row>
    <row r="2" spans="1:9" x14ac:dyDescent="0.2">
      <c r="A2" s="3" t="s">
        <v>160</v>
      </c>
      <c r="B2" s="3" t="s">
        <v>7</v>
      </c>
      <c r="C2" s="3" t="s">
        <v>55</v>
      </c>
      <c r="D2" s="3" t="s">
        <v>161</v>
      </c>
      <c r="E2" s="3" t="s">
        <v>162</v>
      </c>
      <c r="F2" s="7">
        <v>35</v>
      </c>
      <c r="G2" s="3" t="s">
        <v>163</v>
      </c>
      <c r="H2" s="3" t="s">
        <v>164</v>
      </c>
      <c r="I2" s="3" t="s">
        <v>165</v>
      </c>
    </row>
    <row r="3" spans="1:9" x14ac:dyDescent="0.2">
      <c r="A3" s="3" t="s">
        <v>160</v>
      </c>
      <c r="B3" s="3" t="s">
        <v>7</v>
      </c>
      <c r="C3" s="3" t="s">
        <v>55</v>
      </c>
      <c r="D3" s="3" t="s">
        <v>161</v>
      </c>
      <c r="E3" s="3" t="s">
        <v>166</v>
      </c>
      <c r="F3" s="7">
        <v>4</v>
      </c>
      <c r="G3" s="3" t="s">
        <v>83</v>
      </c>
      <c r="H3" s="3" t="s">
        <v>164</v>
      </c>
      <c r="I3" s="3" t="s">
        <v>165</v>
      </c>
    </row>
    <row r="4" spans="1:9" x14ac:dyDescent="0.2">
      <c r="A4" s="3" t="s">
        <v>160</v>
      </c>
      <c r="B4" s="3" t="s">
        <v>7</v>
      </c>
      <c r="C4" s="3" t="s">
        <v>55</v>
      </c>
      <c r="D4" s="3" t="s">
        <v>161</v>
      </c>
      <c r="E4" s="3" t="s">
        <v>169</v>
      </c>
      <c r="F4" s="7">
        <v>1</v>
      </c>
      <c r="G4" s="3" t="s">
        <v>170</v>
      </c>
      <c r="H4" s="3" t="s">
        <v>164</v>
      </c>
      <c r="I4" s="3" t="s">
        <v>165</v>
      </c>
    </row>
    <row r="5" spans="1:9" x14ac:dyDescent="0.2">
      <c r="A5" s="3" t="s">
        <v>171</v>
      </c>
      <c r="B5" s="3" t="s">
        <v>56</v>
      </c>
      <c r="C5" s="3" t="s">
        <v>59</v>
      </c>
      <c r="D5" s="3" t="s">
        <v>161</v>
      </c>
      <c r="E5" s="3" t="s">
        <v>172</v>
      </c>
      <c r="F5" s="3">
        <v>3</v>
      </c>
      <c r="G5" s="3" t="s">
        <v>173</v>
      </c>
      <c r="H5" s="3" t="s">
        <v>174</v>
      </c>
      <c r="I5" s="3" t="s">
        <v>165</v>
      </c>
    </row>
    <row r="6" spans="1:9" x14ac:dyDescent="0.2">
      <c r="A6" s="3" t="s">
        <v>171</v>
      </c>
      <c r="B6" s="3" t="s">
        <v>56</v>
      </c>
      <c r="C6" s="3" t="s">
        <v>59</v>
      </c>
      <c r="D6" s="3" t="s">
        <v>161</v>
      </c>
      <c r="E6" s="3" t="s">
        <v>175</v>
      </c>
      <c r="F6" s="3">
        <v>5</v>
      </c>
      <c r="G6" s="3" t="s">
        <v>176</v>
      </c>
      <c r="H6" s="3" t="s">
        <v>174</v>
      </c>
      <c r="I6" s="3" t="s">
        <v>165</v>
      </c>
    </row>
    <row r="7" spans="1:9" x14ac:dyDescent="0.2">
      <c r="A7" s="3" t="s">
        <v>171</v>
      </c>
      <c r="B7" s="3" t="s">
        <v>56</v>
      </c>
      <c r="C7" s="3" t="s">
        <v>59</v>
      </c>
      <c r="D7" s="3" t="s">
        <v>161</v>
      </c>
      <c r="E7" s="3" t="s">
        <v>177</v>
      </c>
      <c r="F7" s="3">
        <v>6</v>
      </c>
      <c r="G7" s="3" t="s">
        <v>178</v>
      </c>
      <c r="H7" s="3" t="s">
        <v>174</v>
      </c>
      <c r="I7" s="3" t="s">
        <v>165</v>
      </c>
    </row>
    <row r="8" spans="1:9" x14ac:dyDescent="0.2">
      <c r="A8" s="3" t="s">
        <v>179</v>
      </c>
      <c r="B8" s="3" t="s">
        <v>60</v>
      </c>
      <c r="C8" s="3" t="s">
        <v>66</v>
      </c>
      <c r="D8" s="3" t="s">
        <v>161</v>
      </c>
      <c r="E8" s="3" t="s">
        <v>180</v>
      </c>
      <c r="F8" s="3">
        <v>15</v>
      </c>
      <c r="G8" s="3" t="s">
        <v>163</v>
      </c>
      <c r="H8" s="3" t="s">
        <v>181</v>
      </c>
      <c r="I8" s="3" t="s">
        <v>182</v>
      </c>
    </row>
    <row r="9" spans="1:9" x14ac:dyDescent="0.2">
      <c r="A9" s="3" t="s">
        <v>179</v>
      </c>
      <c r="B9" s="3" t="s">
        <v>60</v>
      </c>
      <c r="C9" s="3" t="s">
        <v>66</v>
      </c>
      <c r="D9" s="3" t="s">
        <v>161</v>
      </c>
      <c r="E9" s="3" t="s">
        <v>183</v>
      </c>
      <c r="F9" s="3">
        <v>3</v>
      </c>
      <c r="G9" s="3" t="s">
        <v>184</v>
      </c>
      <c r="H9" s="3" t="s">
        <v>181</v>
      </c>
      <c r="I9" s="3" t="s">
        <v>182</v>
      </c>
    </row>
    <row r="10" spans="1:9" x14ac:dyDescent="0.2">
      <c r="A10" s="3" t="s">
        <v>179</v>
      </c>
      <c r="B10" s="3" t="s">
        <v>60</v>
      </c>
      <c r="C10" s="3" t="s">
        <v>66</v>
      </c>
      <c r="D10" s="3" t="s">
        <v>161</v>
      </c>
      <c r="E10" s="3" t="s">
        <v>185</v>
      </c>
      <c r="F10" s="3">
        <v>5</v>
      </c>
      <c r="G10" s="3" t="s">
        <v>83</v>
      </c>
      <c r="H10" s="3" t="s">
        <v>181</v>
      </c>
      <c r="I10" s="3" t="s">
        <v>182</v>
      </c>
    </row>
    <row r="11" spans="1:9" x14ac:dyDescent="0.2">
      <c r="A11" s="3" t="s">
        <v>179</v>
      </c>
      <c r="B11" s="3" t="s">
        <v>60</v>
      </c>
      <c r="C11" s="3" t="s">
        <v>66</v>
      </c>
      <c r="D11" s="3" t="s">
        <v>161</v>
      </c>
      <c r="E11" s="3" t="s">
        <v>186</v>
      </c>
      <c r="F11" s="3">
        <v>1</v>
      </c>
      <c r="G11" s="3" t="s">
        <v>170</v>
      </c>
      <c r="H11" s="3" t="s">
        <v>181</v>
      </c>
      <c r="I11" s="3" t="s">
        <v>182</v>
      </c>
    </row>
    <row r="12" spans="1:9" x14ac:dyDescent="0.2">
      <c r="A12" s="3" t="s">
        <v>179</v>
      </c>
      <c r="B12" s="3" t="s">
        <v>60</v>
      </c>
      <c r="C12" s="3" t="s">
        <v>66</v>
      </c>
      <c r="D12" s="3" t="s">
        <v>161</v>
      </c>
      <c r="E12" s="3" t="s">
        <v>187</v>
      </c>
      <c r="F12" s="3">
        <v>1</v>
      </c>
      <c r="G12" s="3" t="s">
        <v>188</v>
      </c>
      <c r="H12" s="3" t="s">
        <v>189</v>
      </c>
      <c r="I12" s="3" t="s">
        <v>182</v>
      </c>
    </row>
    <row r="13" spans="1:9" x14ac:dyDescent="0.2">
      <c r="A13" s="3" t="s">
        <v>190</v>
      </c>
      <c r="B13" s="3" t="s">
        <v>67</v>
      </c>
      <c r="C13" s="3" t="s">
        <v>82</v>
      </c>
      <c r="D13" s="3" t="s">
        <v>191</v>
      </c>
      <c r="E13" s="3" t="s">
        <v>192</v>
      </c>
      <c r="F13" s="3">
        <v>20</v>
      </c>
      <c r="G13" s="3" t="s">
        <v>163</v>
      </c>
      <c r="H13" s="3" t="s">
        <v>193</v>
      </c>
      <c r="I13" s="3" t="s">
        <v>182</v>
      </c>
    </row>
    <row r="14" spans="1:9" x14ac:dyDescent="0.2">
      <c r="A14" s="3" t="s">
        <v>190</v>
      </c>
      <c r="B14" s="3" t="s">
        <v>67</v>
      </c>
      <c r="C14" s="3" t="s">
        <v>82</v>
      </c>
      <c r="D14" s="3" t="s">
        <v>191</v>
      </c>
      <c r="E14" s="3" t="s">
        <v>185</v>
      </c>
      <c r="F14" s="3">
        <v>6</v>
      </c>
      <c r="G14" s="3" t="s">
        <v>83</v>
      </c>
      <c r="H14" s="3" t="s">
        <v>193</v>
      </c>
      <c r="I14" s="3" t="s">
        <v>182</v>
      </c>
    </row>
    <row r="15" spans="1:9" x14ac:dyDescent="0.2">
      <c r="A15" s="3" t="s">
        <v>190</v>
      </c>
      <c r="B15" s="3" t="s">
        <v>67</v>
      </c>
      <c r="C15" s="3" t="s">
        <v>82</v>
      </c>
      <c r="D15" s="3" t="s">
        <v>191</v>
      </c>
      <c r="E15" s="3" t="s">
        <v>194</v>
      </c>
      <c r="F15" s="3">
        <v>14</v>
      </c>
      <c r="G15" s="3" t="s">
        <v>83</v>
      </c>
      <c r="H15" s="3" t="s">
        <v>193</v>
      </c>
      <c r="I15" s="3" t="s">
        <v>182</v>
      </c>
    </row>
    <row r="16" spans="1:9" x14ac:dyDescent="0.2">
      <c r="A16" s="3" t="s">
        <v>190</v>
      </c>
      <c r="B16" s="3" t="s">
        <v>67</v>
      </c>
      <c r="C16" s="3" t="s">
        <v>82</v>
      </c>
      <c r="D16" s="3" t="s">
        <v>191</v>
      </c>
      <c r="E16" s="3" t="s">
        <v>186</v>
      </c>
      <c r="F16" s="3">
        <v>1</v>
      </c>
      <c r="G16" s="3" t="s">
        <v>170</v>
      </c>
      <c r="H16" s="3" t="s">
        <v>193</v>
      </c>
      <c r="I16" s="3" t="s">
        <v>182</v>
      </c>
    </row>
    <row r="17" spans="1:9" x14ac:dyDescent="0.2">
      <c r="A17" s="3" t="s">
        <v>190</v>
      </c>
      <c r="B17" s="3" t="s">
        <v>67</v>
      </c>
      <c r="C17" s="3" t="s">
        <v>82</v>
      </c>
      <c r="D17" s="3" t="s">
        <v>191</v>
      </c>
      <c r="E17" s="3" t="s">
        <v>187</v>
      </c>
      <c r="F17" s="3">
        <v>1</v>
      </c>
      <c r="G17" s="3" t="s">
        <v>188</v>
      </c>
      <c r="H17" s="3" t="s">
        <v>189</v>
      </c>
      <c r="I17" s="3" t="s">
        <v>182</v>
      </c>
    </row>
    <row r="18" spans="1:9" x14ac:dyDescent="0.2">
      <c r="A18" s="3" t="s">
        <v>195</v>
      </c>
      <c r="B18" s="3" t="s">
        <v>84</v>
      </c>
      <c r="C18" s="3" t="s">
        <v>91</v>
      </c>
      <c r="D18" s="3" t="s">
        <v>191</v>
      </c>
      <c r="E18" s="3" t="s">
        <v>196</v>
      </c>
      <c r="F18" s="3">
        <v>3</v>
      </c>
      <c r="G18" s="3" t="s">
        <v>176</v>
      </c>
      <c r="H18" s="3" t="s">
        <v>193</v>
      </c>
      <c r="I18" s="3" t="s">
        <v>165</v>
      </c>
    </row>
    <row r="19" spans="1:9" x14ac:dyDescent="0.2">
      <c r="A19" s="3" t="s">
        <v>195</v>
      </c>
      <c r="B19" s="3" t="s">
        <v>84</v>
      </c>
      <c r="C19" s="3" t="s">
        <v>91</v>
      </c>
      <c r="D19" s="3" t="s">
        <v>191</v>
      </c>
      <c r="E19" s="3" t="s">
        <v>197</v>
      </c>
      <c r="F19" s="3" t="s">
        <v>198</v>
      </c>
      <c r="G19" s="3" t="s">
        <v>83</v>
      </c>
      <c r="H19" s="3" t="s">
        <v>193</v>
      </c>
      <c r="I19" s="3" t="s">
        <v>165</v>
      </c>
    </row>
    <row r="20" spans="1:9" x14ac:dyDescent="0.2">
      <c r="A20" s="3" t="s">
        <v>195</v>
      </c>
      <c r="B20" s="3" t="s">
        <v>84</v>
      </c>
      <c r="C20" s="3" t="s">
        <v>91</v>
      </c>
      <c r="D20" s="3" t="s">
        <v>191</v>
      </c>
      <c r="E20" s="3" t="s">
        <v>194</v>
      </c>
      <c r="F20" s="3">
        <v>10</v>
      </c>
      <c r="G20" s="3" t="s">
        <v>83</v>
      </c>
      <c r="H20" s="3" t="s">
        <v>193</v>
      </c>
      <c r="I20" s="3" t="s">
        <v>165</v>
      </c>
    </row>
    <row r="21" spans="1:9" x14ac:dyDescent="0.2">
      <c r="A21" s="3" t="s">
        <v>195</v>
      </c>
      <c r="B21" s="3" t="s">
        <v>84</v>
      </c>
      <c r="C21" s="3" t="s">
        <v>91</v>
      </c>
      <c r="D21" s="3" t="s">
        <v>191</v>
      </c>
      <c r="E21" s="3" t="s">
        <v>199</v>
      </c>
      <c r="F21" s="3">
        <v>0</v>
      </c>
      <c r="G21" s="3" t="s">
        <v>188</v>
      </c>
      <c r="H21" s="3" t="s">
        <v>200</v>
      </c>
      <c r="I21" s="3" t="s">
        <v>165</v>
      </c>
    </row>
    <row r="22" spans="1:9" x14ac:dyDescent="0.2">
      <c r="A22" s="3" t="s">
        <v>201</v>
      </c>
      <c r="B22" s="3" t="s">
        <v>92</v>
      </c>
      <c r="C22" s="3" t="s">
        <v>96</v>
      </c>
      <c r="D22" s="3" t="s">
        <v>191</v>
      </c>
      <c r="E22" s="3" t="s">
        <v>202</v>
      </c>
      <c r="F22" s="9">
        <v>46144</v>
      </c>
      <c r="G22" s="3" t="s">
        <v>83</v>
      </c>
      <c r="H22" s="3" t="s">
        <v>193</v>
      </c>
      <c r="I22" s="3" t="s">
        <v>203</v>
      </c>
    </row>
    <row r="23" spans="1:9" x14ac:dyDescent="0.2">
      <c r="A23" s="3" t="s">
        <v>201</v>
      </c>
      <c r="B23" s="3" t="s">
        <v>92</v>
      </c>
      <c r="C23" s="3" t="s">
        <v>96</v>
      </c>
      <c r="D23" s="3" t="s">
        <v>191</v>
      </c>
      <c r="E23" s="3" t="s">
        <v>204</v>
      </c>
      <c r="F23" s="3">
        <v>3</v>
      </c>
      <c r="G23" s="3" t="s">
        <v>176</v>
      </c>
      <c r="H23" s="3" t="s">
        <v>193</v>
      </c>
      <c r="I23" s="3" t="s">
        <v>203</v>
      </c>
    </row>
    <row r="24" spans="1:9" x14ac:dyDescent="0.2">
      <c r="A24" s="3" t="s">
        <v>201</v>
      </c>
      <c r="B24" s="3" t="s">
        <v>92</v>
      </c>
      <c r="C24" s="3" t="s">
        <v>96</v>
      </c>
      <c r="D24" s="3" t="s">
        <v>191</v>
      </c>
      <c r="E24" s="3" t="s">
        <v>194</v>
      </c>
      <c r="F24" s="3">
        <v>16</v>
      </c>
      <c r="G24" s="3" t="s">
        <v>83</v>
      </c>
      <c r="H24" s="3" t="s">
        <v>193</v>
      </c>
      <c r="I24" s="3" t="s">
        <v>203</v>
      </c>
    </row>
    <row r="25" spans="1:9" x14ac:dyDescent="0.2">
      <c r="A25" s="3" t="s">
        <v>205</v>
      </c>
      <c r="B25" s="3" t="s">
        <v>97</v>
      </c>
      <c r="C25" s="3" t="s">
        <v>100</v>
      </c>
      <c r="D25" s="3" t="s">
        <v>191</v>
      </c>
      <c r="E25" s="3" t="s">
        <v>206</v>
      </c>
      <c r="F25" s="3">
        <v>2</v>
      </c>
      <c r="G25" s="3" t="s">
        <v>83</v>
      </c>
      <c r="H25" s="3" t="s">
        <v>193</v>
      </c>
      <c r="I25" s="3" t="s">
        <v>182</v>
      </c>
    </row>
    <row r="26" spans="1:9" x14ac:dyDescent="0.2">
      <c r="A26" s="3" t="s">
        <v>205</v>
      </c>
      <c r="B26" s="3" t="s">
        <v>97</v>
      </c>
      <c r="C26" s="3" t="s">
        <v>100</v>
      </c>
      <c r="D26" s="3" t="s">
        <v>191</v>
      </c>
      <c r="E26" s="3" t="s">
        <v>207</v>
      </c>
      <c r="F26" s="9">
        <v>46144</v>
      </c>
      <c r="G26" s="3" t="s">
        <v>86</v>
      </c>
      <c r="H26" s="3" t="s">
        <v>208</v>
      </c>
      <c r="I26" s="3" t="s">
        <v>182</v>
      </c>
    </row>
    <row r="27" spans="1:9" x14ac:dyDescent="0.2">
      <c r="A27" s="3" t="s">
        <v>205</v>
      </c>
      <c r="B27" s="3" t="s">
        <v>97</v>
      </c>
      <c r="C27" s="3" t="s">
        <v>100</v>
      </c>
      <c r="D27" s="3" t="s">
        <v>191</v>
      </c>
      <c r="E27" s="3" t="s">
        <v>194</v>
      </c>
      <c r="F27" s="3">
        <v>12</v>
      </c>
      <c r="G27" s="3" t="s">
        <v>83</v>
      </c>
      <c r="H27" s="3" t="s">
        <v>208</v>
      </c>
      <c r="I27" s="3" t="s">
        <v>165</v>
      </c>
    </row>
    <row r="28" spans="1:9" x14ac:dyDescent="0.2">
      <c r="A28" s="3" t="s">
        <v>205</v>
      </c>
      <c r="B28" s="3" t="s">
        <v>97</v>
      </c>
      <c r="C28" s="3" t="s">
        <v>100</v>
      </c>
      <c r="D28" s="3" t="s">
        <v>191</v>
      </c>
      <c r="E28" s="3" t="s">
        <v>209</v>
      </c>
      <c r="F28" s="3">
        <v>2</v>
      </c>
      <c r="G28" s="3" t="s">
        <v>83</v>
      </c>
      <c r="H28" s="3" t="s">
        <v>210</v>
      </c>
      <c r="I28" s="3" t="s">
        <v>165</v>
      </c>
    </row>
    <row r="29" spans="1:9" x14ac:dyDescent="0.2">
      <c r="A29" s="3" t="s">
        <v>205</v>
      </c>
      <c r="B29" s="3" t="s">
        <v>97</v>
      </c>
      <c r="C29" s="3" t="s">
        <v>100</v>
      </c>
      <c r="D29" s="3" t="s">
        <v>191</v>
      </c>
      <c r="E29" s="3" t="s">
        <v>211</v>
      </c>
      <c r="F29" s="3">
        <v>0</v>
      </c>
      <c r="G29" s="3" t="s">
        <v>188</v>
      </c>
      <c r="H29" s="3" t="s">
        <v>212</v>
      </c>
      <c r="I29" s="3" t="s">
        <v>165</v>
      </c>
    </row>
    <row r="30" spans="1:9" x14ac:dyDescent="0.2">
      <c r="A30" s="3" t="s">
        <v>213</v>
      </c>
      <c r="B30" s="3" t="s">
        <v>101</v>
      </c>
      <c r="C30" s="3" t="s">
        <v>105</v>
      </c>
      <c r="D30" s="3" t="s">
        <v>191</v>
      </c>
      <c r="E30" s="3" t="s">
        <v>215</v>
      </c>
      <c r="F30" s="3">
        <v>350</v>
      </c>
      <c r="G30" s="3" t="s">
        <v>13</v>
      </c>
      <c r="H30" s="3" t="s">
        <v>193</v>
      </c>
      <c r="I30" s="3" t="s">
        <v>217</v>
      </c>
    </row>
    <row r="31" spans="1:9" x14ac:dyDescent="0.2">
      <c r="A31" s="3" t="s">
        <v>213</v>
      </c>
      <c r="B31" s="3" t="s">
        <v>101</v>
      </c>
      <c r="C31" s="3" t="s">
        <v>105</v>
      </c>
      <c r="D31" s="3" t="s">
        <v>191</v>
      </c>
      <c r="E31" s="3" t="s">
        <v>185</v>
      </c>
      <c r="F31" s="3">
        <v>6</v>
      </c>
      <c r="G31" s="3" t="s">
        <v>83</v>
      </c>
      <c r="H31" s="3" t="s">
        <v>193</v>
      </c>
      <c r="I31" s="3" t="s">
        <v>217</v>
      </c>
    </row>
    <row r="32" spans="1:9" x14ac:dyDescent="0.2">
      <c r="A32" s="3" t="s">
        <v>213</v>
      </c>
      <c r="B32" s="3" t="s">
        <v>101</v>
      </c>
      <c r="C32" s="3" t="s">
        <v>105</v>
      </c>
      <c r="D32" s="3" t="s">
        <v>191</v>
      </c>
      <c r="E32" s="3" t="s">
        <v>194</v>
      </c>
      <c r="F32" s="3">
        <v>10</v>
      </c>
      <c r="G32" s="3" t="s">
        <v>83</v>
      </c>
      <c r="H32" s="3" t="s">
        <v>193</v>
      </c>
      <c r="I32" s="3" t="s">
        <v>217</v>
      </c>
    </row>
    <row r="33" spans="1:9" x14ac:dyDescent="0.2">
      <c r="A33" s="3" t="s">
        <v>213</v>
      </c>
      <c r="B33" s="3" t="s">
        <v>101</v>
      </c>
      <c r="C33" s="3" t="s">
        <v>105</v>
      </c>
      <c r="D33" s="3" t="s">
        <v>191</v>
      </c>
      <c r="E33" s="3" t="s">
        <v>186</v>
      </c>
      <c r="F33" s="3">
        <v>1</v>
      </c>
      <c r="G33" s="3" t="s">
        <v>170</v>
      </c>
      <c r="H33" s="3" t="s">
        <v>193</v>
      </c>
      <c r="I33" s="3" t="s">
        <v>217</v>
      </c>
    </row>
    <row r="34" spans="1:9" x14ac:dyDescent="0.2">
      <c r="A34" s="3" t="s">
        <v>213</v>
      </c>
      <c r="B34" s="3" t="s">
        <v>101</v>
      </c>
      <c r="C34" s="3" t="s">
        <v>105</v>
      </c>
      <c r="D34" s="3" t="s">
        <v>191</v>
      </c>
      <c r="E34" s="3" t="s">
        <v>218</v>
      </c>
      <c r="F34" s="3">
        <v>1</v>
      </c>
      <c r="G34" s="3" t="s">
        <v>188</v>
      </c>
      <c r="H34" s="3" t="s">
        <v>193</v>
      </c>
      <c r="I34" s="3" t="s">
        <v>165</v>
      </c>
    </row>
    <row r="35" spans="1:9" x14ac:dyDescent="0.2">
      <c r="A35" s="3" t="s">
        <v>219</v>
      </c>
      <c r="B35" s="3" t="s">
        <v>106</v>
      </c>
      <c r="C35" s="3" t="s">
        <v>114</v>
      </c>
      <c r="D35" s="3" t="s">
        <v>161</v>
      </c>
      <c r="E35" s="3" t="s">
        <v>220</v>
      </c>
      <c r="F35" s="3">
        <v>50</v>
      </c>
      <c r="G35" s="3" t="s">
        <v>163</v>
      </c>
      <c r="H35" s="3" t="s">
        <v>221</v>
      </c>
      <c r="I35" s="3" t="s">
        <v>165</v>
      </c>
    </row>
    <row r="36" spans="1:9" x14ac:dyDescent="0.2">
      <c r="A36" s="3" t="s">
        <v>219</v>
      </c>
      <c r="B36" s="3" t="s">
        <v>106</v>
      </c>
      <c r="C36" s="3" t="s">
        <v>114</v>
      </c>
      <c r="D36" s="3" t="s">
        <v>161</v>
      </c>
      <c r="E36" s="3" t="s">
        <v>185</v>
      </c>
      <c r="F36" s="3">
        <v>4</v>
      </c>
      <c r="G36" s="3" t="s">
        <v>83</v>
      </c>
      <c r="H36" s="3" t="s">
        <v>221</v>
      </c>
      <c r="I36" s="3" t="s">
        <v>165</v>
      </c>
    </row>
    <row r="37" spans="1:9" x14ac:dyDescent="0.2">
      <c r="A37" s="3" t="s">
        <v>219</v>
      </c>
      <c r="B37" s="3" t="s">
        <v>106</v>
      </c>
      <c r="C37" s="3" t="s">
        <v>114</v>
      </c>
      <c r="D37" s="3" t="s">
        <v>161</v>
      </c>
      <c r="E37" s="3" t="s">
        <v>194</v>
      </c>
      <c r="F37" s="3">
        <v>12</v>
      </c>
      <c r="G37" s="3" t="s">
        <v>83</v>
      </c>
      <c r="H37" s="3" t="s">
        <v>222</v>
      </c>
      <c r="I37" s="3" t="s">
        <v>165</v>
      </c>
    </row>
    <row r="38" spans="1:9" x14ac:dyDescent="0.2">
      <c r="A38" s="3" t="s">
        <v>223</v>
      </c>
      <c r="B38" s="3" t="s">
        <v>116</v>
      </c>
      <c r="C38" s="3" t="s">
        <v>126</v>
      </c>
      <c r="D38" s="3" t="s">
        <v>191</v>
      </c>
      <c r="E38" s="3" t="s">
        <v>180</v>
      </c>
      <c r="F38" s="3">
        <v>40</v>
      </c>
      <c r="G38" s="3" t="s">
        <v>163</v>
      </c>
      <c r="H38" s="3" t="s">
        <v>193</v>
      </c>
      <c r="I38" s="3" t="s">
        <v>165</v>
      </c>
    </row>
    <row r="39" spans="1:9" x14ac:dyDescent="0.2">
      <c r="A39" s="3" t="s">
        <v>223</v>
      </c>
      <c r="B39" s="3" t="s">
        <v>116</v>
      </c>
      <c r="C39" s="3" t="s">
        <v>126</v>
      </c>
      <c r="D39" s="3" t="s">
        <v>191</v>
      </c>
      <c r="E39" s="3" t="s">
        <v>185</v>
      </c>
      <c r="F39" s="3">
        <v>4</v>
      </c>
      <c r="G39" s="3" t="s">
        <v>83</v>
      </c>
      <c r="H39" s="3" t="s">
        <v>193</v>
      </c>
      <c r="I39" s="3" t="s">
        <v>165</v>
      </c>
    </row>
    <row r="40" spans="1:9" x14ac:dyDescent="0.2">
      <c r="A40" s="3" t="s">
        <v>223</v>
      </c>
      <c r="B40" s="3" t="s">
        <v>116</v>
      </c>
      <c r="C40" s="3" t="s">
        <v>126</v>
      </c>
      <c r="D40" s="3" t="s">
        <v>191</v>
      </c>
      <c r="E40" s="3" t="s">
        <v>194</v>
      </c>
      <c r="F40" s="3">
        <v>16</v>
      </c>
      <c r="G40" s="3" t="s">
        <v>83</v>
      </c>
      <c r="H40" s="3" t="s">
        <v>222</v>
      </c>
      <c r="I40" s="3" t="s">
        <v>165</v>
      </c>
    </row>
    <row r="41" spans="1:9" x14ac:dyDescent="0.2">
      <c r="A41" s="3" t="s">
        <v>223</v>
      </c>
      <c r="B41" s="3" t="s">
        <v>116</v>
      </c>
      <c r="C41" s="3" t="s">
        <v>126</v>
      </c>
      <c r="D41" s="3" t="s">
        <v>191</v>
      </c>
      <c r="E41" s="3" t="s">
        <v>211</v>
      </c>
      <c r="F41" s="3">
        <v>0</v>
      </c>
      <c r="G41" s="3" t="s">
        <v>188</v>
      </c>
      <c r="H41" s="3" t="s">
        <v>224</v>
      </c>
      <c r="I41" s="3" t="s">
        <v>165</v>
      </c>
    </row>
    <row r="42" spans="1:9" x14ac:dyDescent="0.2">
      <c r="A42" s="3" t="s">
        <v>223</v>
      </c>
      <c r="B42" s="3" t="s">
        <v>116</v>
      </c>
      <c r="C42" s="3" t="s">
        <v>126</v>
      </c>
      <c r="D42" s="3" t="s">
        <v>191</v>
      </c>
      <c r="E42" s="3" t="s">
        <v>225</v>
      </c>
      <c r="F42" s="3">
        <v>1</v>
      </c>
      <c r="G42" s="3" t="s">
        <v>188</v>
      </c>
      <c r="H42" s="3" t="s">
        <v>224</v>
      </c>
      <c r="I42" s="3" t="s">
        <v>165</v>
      </c>
    </row>
    <row r="43" spans="1:9" x14ac:dyDescent="0.2">
      <c r="A43" s="3" t="s">
        <v>226</v>
      </c>
      <c r="B43" s="3" t="s">
        <v>127</v>
      </c>
      <c r="C43" s="3" t="s">
        <v>136</v>
      </c>
      <c r="D43" s="3" t="s">
        <v>191</v>
      </c>
      <c r="E43" s="3" t="s">
        <v>227</v>
      </c>
      <c r="F43" s="3">
        <v>5</v>
      </c>
      <c r="G43" s="3" t="s">
        <v>170</v>
      </c>
      <c r="H43" s="3" t="s">
        <v>193</v>
      </c>
      <c r="I43" s="3" t="s">
        <v>182</v>
      </c>
    </row>
    <row r="44" spans="1:9" x14ac:dyDescent="0.2">
      <c r="A44" s="3" t="s">
        <v>226</v>
      </c>
      <c r="B44" s="3" t="s">
        <v>127</v>
      </c>
      <c r="C44" s="3" t="s">
        <v>136</v>
      </c>
      <c r="D44" s="3" t="s">
        <v>191</v>
      </c>
      <c r="E44" s="3" t="s">
        <v>228</v>
      </c>
      <c r="F44" s="3" t="s">
        <v>229</v>
      </c>
      <c r="G44" s="3" t="s">
        <v>86</v>
      </c>
      <c r="H44" s="3" t="s">
        <v>230</v>
      </c>
      <c r="I44" s="3" t="s">
        <v>182</v>
      </c>
    </row>
    <row r="45" spans="1:9" x14ac:dyDescent="0.2">
      <c r="A45" s="3" t="s">
        <v>226</v>
      </c>
      <c r="B45" s="3" t="s">
        <v>127</v>
      </c>
      <c r="C45" s="3" t="s">
        <v>136</v>
      </c>
      <c r="D45" s="3" t="s">
        <v>191</v>
      </c>
      <c r="E45" s="3" t="s">
        <v>231</v>
      </c>
      <c r="F45" s="3" t="s">
        <v>232</v>
      </c>
      <c r="G45" s="3" t="s">
        <v>83</v>
      </c>
      <c r="H45" s="3" t="s">
        <v>233</v>
      </c>
      <c r="I45" s="3" t="s">
        <v>182</v>
      </c>
    </row>
    <row r="46" spans="1:9" x14ac:dyDescent="0.2">
      <c r="A46" s="3" t="s">
        <v>226</v>
      </c>
      <c r="B46" s="3" t="s">
        <v>127</v>
      </c>
      <c r="C46" s="3" t="s">
        <v>136</v>
      </c>
      <c r="D46" s="3" t="s">
        <v>191</v>
      </c>
      <c r="E46" s="3" t="s">
        <v>194</v>
      </c>
      <c r="F46" s="3">
        <v>10</v>
      </c>
      <c r="G46" s="3" t="s">
        <v>83</v>
      </c>
      <c r="H46" s="3" t="s">
        <v>222</v>
      </c>
      <c r="I46" s="3" t="s">
        <v>165</v>
      </c>
    </row>
    <row r="47" spans="1:9" x14ac:dyDescent="0.2">
      <c r="A47" s="3" t="s">
        <v>226</v>
      </c>
      <c r="B47" s="3" t="s">
        <v>127</v>
      </c>
      <c r="C47" s="3" t="s">
        <v>136</v>
      </c>
      <c r="D47" s="3" t="s">
        <v>191</v>
      </c>
      <c r="E47" s="3" t="s">
        <v>211</v>
      </c>
      <c r="F47" s="3">
        <v>0</v>
      </c>
      <c r="G47" s="3" t="s">
        <v>188</v>
      </c>
      <c r="H47" s="3" t="s">
        <v>233</v>
      </c>
      <c r="I47" s="3" t="s">
        <v>165</v>
      </c>
    </row>
    <row r="48" spans="1:9" x14ac:dyDescent="0.2">
      <c r="A48" s="3" t="s">
        <v>234</v>
      </c>
      <c r="B48" s="3" t="s">
        <v>138</v>
      </c>
      <c r="C48" s="3" t="s">
        <v>149</v>
      </c>
      <c r="D48" s="3" t="s">
        <v>191</v>
      </c>
      <c r="E48" s="3" t="s">
        <v>207</v>
      </c>
      <c r="F48" s="3" t="s">
        <v>198</v>
      </c>
      <c r="G48" s="3" t="s">
        <v>86</v>
      </c>
      <c r="H48" s="3" t="s">
        <v>193</v>
      </c>
      <c r="I48" s="3" t="s">
        <v>182</v>
      </c>
    </row>
    <row r="49" spans="1:9" x14ac:dyDescent="0.2">
      <c r="A49" s="3" t="s">
        <v>234</v>
      </c>
      <c r="B49" s="3" t="s">
        <v>138</v>
      </c>
      <c r="C49" s="3" t="s">
        <v>149</v>
      </c>
      <c r="D49" s="3" t="s">
        <v>191</v>
      </c>
      <c r="E49" s="3" t="s">
        <v>235</v>
      </c>
      <c r="F49" s="3">
        <v>2</v>
      </c>
      <c r="G49" s="3" t="s">
        <v>176</v>
      </c>
      <c r="H49" s="3" t="s">
        <v>236</v>
      </c>
      <c r="I49" s="3" t="s">
        <v>182</v>
      </c>
    </row>
    <row r="50" spans="1:9" x14ac:dyDescent="0.2">
      <c r="A50" s="3" t="s">
        <v>234</v>
      </c>
      <c r="B50" s="3" t="s">
        <v>138</v>
      </c>
      <c r="C50" s="3" t="s">
        <v>149</v>
      </c>
      <c r="D50" s="3" t="s">
        <v>191</v>
      </c>
      <c r="E50" s="3" t="s">
        <v>237</v>
      </c>
      <c r="F50" s="9">
        <v>46143</v>
      </c>
      <c r="G50" s="3" t="s">
        <v>83</v>
      </c>
      <c r="H50" s="3" t="s">
        <v>238</v>
      </c>
      <c r="I50" s="3" t="s">
        <v>182</v>
      </c>
    </row>
    <row r="51" spans="1:9" x14ac:dyDescent="0.2">
      <c r="A51" s="3" t="s">
        <v>234</v>
      </c>
      <c r="B51" s="3" t="s">
        <v>138</v>
      </c>
      <c r="C51" s="3" t="s">
        <v>149</v>
      </c>
      <c r="D51" s="3" t="s">
        <v>191</v>
      </c>
      <c r="E51" s="3" t="s">
        <v>194</v>
      </c>
      <c r="F51" s="3">
        <v>14</v>
      </c>
      <c r="G51" s="3" t="s">
        <v>83</v>
      </c>
      <c r="H51" s="3" t="s">
        <v>222</v>
      </c>
      <c r="I51" s="3" t="s">
        <v>165</v>
      </c>
    </row>
    <row r="52" spans="1:9" x14ac:dyDescent="0.2">
      <c r="A52" s="3" t="s">
        <v>195</v>
      </c>
      <c r="B52" s="3" t="s">
        <v>84</v>
      </c>
      <c r="C52" s="3" t="s">
        <v>91</v>
      </c>
      <c r="D52" s="3" t="s">
        <v>191</v>
      </c>
      <c r="E52" s="3" t="s">
        <v>239</v>
      </c>
      <c r="F52" s="3">
        <v>0</v>
      </c>
      <c r="G52" s="3" t="s">
        <v>188</v>
      </c>
      <c r="H52" s="3" t="s">
        <v>200</v>
      </c>
      <c r="I52" s="3" t="s">
        <v>165</v>
      </c>
    </row>
    <row r="53" spans="1:9" x14ac:dyDescent="0.2">
      <c r="A53" s="3" t="s">
        <v>195</v>
      </c>
      <c r="B53" s="3" t="s">
        <v>84</v>
      </c>
      <c r="C53" s="3" t="s">
        <v>91</v>
      </c>
      <c r="D53" s="3" t="s">
        <v>191</v>
      </c>
      <c r="E53" s="3" t="s">
        <v>240</v>
      </c>
      <c r="F53" s="3">
        <v>10</v>
      </c>
      <c r="G53" s="3" t="s">
        <v>83</v>
      </c>
      <c r="H53" s="3" t="s">
        <v>241</v>
      </c>
      <c r="I53" s="3" t="s">
        <v>165</v>
      </c>
    </row>
    <row r="54" spans="1:9" x14ac:dyDescent="0.2">
      <c r="A54" s="3" t="s">
        <v>201</v>
      </c>
      <c r="B54" s="3" t="s">
        <v>92</v>
      </c>
      <c r="C54" s="3" t="s">
        <v>96</v>
      </c>
      <c r="D54" s="3" t="s">
        <v>191</v>
      </c>
      <c r="E54" s="3" t="s">
        <v>242</v>
      </c>
      <c r="F54" s="3">
        <v>0</v>
      </c>
      <c r="G54" s="3" t="s">
        <v>188</v>
      </c>
      <c r="H54" s="3" t="s">
        <v>243</v>
      </c>
      <c r="I54" s="3" t="s">
        <v>203</v>
      </c>
    </row>
    <row r="55" spans="1:9" x14ac:dyDescent="0.2">
      <c r="A55" s="3" t="s">
        <v>201</v>
      </c>
      <c r="B55" s="3" t="s">
        <v>92</v>
      </c>
      <c r="C55" s="3" t="s">
        <v>96</v>
      </c>
      <c r="D55" s="3" t="s">
        <v>191</v>
      </c>
      <c r="E55" s="3" t="s">
        <v>244</v>
      </c>
      <c r="F55" s="3">
        <v>1</v>
      </c>
      <c r="G55" s="3" t="s">
        <v>188</v>
      </c>
      <c r="H55" s="3" t="s">
        <v>245</v>
      </c>
      <c r="I55" s="3" t="s">
        <v>203</v>
      </c>
    </row>
    <row r="56" spans="1:9" x14ac:dyDescent="0.2">
      <c r="A56" s="3" t="s">
        <v>205</v>
      </c>
      <c r="B56" s="3" t="s">
        <v>97</v>
      </c>
      <c r="C56" s="3" t="s">
        <v>100</v>
      </c>
      <c r="D56" s="3" t="s">
        <v>191</v>
      </c>
      <c r="E56" s="3" t="s">
        <v>246</v>
      </c>
      <c r="F56" s="3">
        <v>1</v>
      </c>
      <c r="G56" s="3" t="s">
        <v>188</v>
      </c>
      <c r="H56" s="3" t="s">
        <v>247</v>
      </c>
      <c r="I56" s="3" t="s">
        <v>248</v>
      </c>
    </row>
    <row r="57" spans="1:9" x14ac:dyDescent="0.2">
      <c r="A57" s="3" t="s">
        <v>205</v>
      </c>
      <c r="B57" s="3" t="s">
        <v>97</v>
      </c>
      <c r="C57" s="3" t="s">
        <v>100</v>
      </c>
      <c r="D57" s="3" t="s">
        <v>191</v>
      </c>
      <c r="E57" s="3" t="s">
        <v>250</v>
      </c>
      <c r="F57" s="3">
        <v>0</v>
      </c>
      <c r="G57" s="3" t="s">
        <v>188</v>
      </c>
      <c r="H57" s="3" t="s">
        <v>236</v>
      </c>
      <c r="I57" s="3" t="s">
        <v>248</v>
      </c>
    </row>
    <row r="58" spans="1:9" x14ac:dyDescent="0.2">
      <c r="A58" s="3"/>
    </row>
    <row r="59" spans="1:9" x14ac:dyDescent="0.2">
      <c r="A59" s="3"/>
    </row>
    <row r="60" spans="1:9" x14ac:dyDescent="0.2">
      <c r="A60" s="3"/>
    </row>
    <row r="61" spans="1:9" x14ac:dyDescent="0.2">
      <c r="A6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workbookViewId="0"/>
  </sheetViews>
  <sheetFormatPr defaultColWidth="12.5703125" defaultRowHeight="15.75" customHeight="1" x14ac:dyDescent="0.2"/>
  <cols>
    <col min="2" max="2" width="18.7109375" customWidth="1"/>
    <col min="3" max="3" width="23.5703125" customWidth="1"/>
    <col min="4" max="4" width="33.42578125" customWidth="1"/>
    <col min="5" max="5" width="42.42578125" customWidth="1"/>
    <col min="6" max="6" width="24.5703125" customWidth="1"/>
    <col min="7" max="7" width="16" customWidth="1"/>
    <col min="8" max="8" width="29.85546875" customWidth="1"/>
    <col min="9" max="9" width="25.42578125" customWidth="1"/>
    <col min="10" max="10" width="23" customWidth="1"/>
  </cols>
  <sheetData>
    <row r="1" spans="1:10" x14ac:dyDescent="0.2">
      <c r="A1" s="1" t="s">
        <v>249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</row>
    <row r="2" spans="1:10" x14ac:dyDescent="0.2">
      <c r="A2" s="3" t="s">
        <v>260</v>
      </c>
      <c r="B2" s="3" t="s">
        <v>261</v>
      </c>
      <c r="C2" s="3" t="s">
        <v>262</v>
      </c>
      <c r="D2" s="10" t="s">
        <v>264</v>
      </c>
      <c r="E2" s="11" t="s">
        <v>265</v>
      </c>
      <c r="F2" s="3" t="s">
        <v>266</v>
      </c>
      <c r="G2" s="5" t="s">
        <v>267</v>
      </c>
      <c r="H2" s="5" t="s">
        <v>268</v>
      </c>
      <c r="I2" s="5" t="s">
        <v>269</v>
      </c>
      <c r="J2" s="5" t="s">
        <v>270</v>
      </c>
    </row>
    <row r="3" spans="1:10" x14ac:dyDescent="0.2">
      <c r="A3" s="3" t="s">
        <v>271</v>
      </c>
      <c r="B3" s="3" t="s">
        <v>272</v>
      </c>
      <c r="C3" s="3" t="s">
        <v>138</v>
      </c>
      <c r="D3" s="5" t="s">
        <v>273</v>
      </c>
      <c r="E3" s="5" t="s">
        <v>274</v>
      </c>
      <c r="F3" s="3" t="s">
        <v>275</v>
      </c>
      <c r="G3" s="5" t="s">
        <v>276</v>
      </c>
      <c r="H3" s="5" t="s">
        <v>277</v>
      </c>
      <c r="I3" s="5" t="s">
        <v>278</v>
      </c>
      <c r="J3" s="5" t="s">
        <v>279</v>
      </c>
    </row>
    <row r="4" spans="1:10" x14ac:dyDescent="0.2">
      <c r="A4" s="3" t="s">
        <v>280</v>
      </c>
      <c r="B4" s="3" t="s">
        <v>281</v>
      </c>
      <c r="C4" s="3" t="s">
        <v>282</v>
      </c>
      <c r="D4" s="5" t="s">
        <v>283</v>
      </c>
      <c r="E4" s="5" t="s">
        <v>284</v>
      </c>
      <c r="F4" s="3" t="s">
        <v>266</v>
      </c>
      <c r="G4" s="5" t="s">
        <v>285</v>
      </c>
      <c r="H4" s="5" t="s">
        <v>286</v>
      </c>
      <c r="I4" s="5" t="s">
        <v>287</v>
      </c>
      <c r="J4" s="5" t="s">
        <v>288</v>
      </c>
    </row>
    <row r="5" spans="1:10" x14ac:dyDescent="0.2">
      <c r="A5" s="3" t="s">
        <v>289</v>
      </c>
      <c r="B5" s="3" t="s">
        <v>290</v>
      </c>
      <c r="C5" s="3" t="s">
        <v>291</v>
      </c>
      <c r="D5" s="5" t="s">
        <v>292</v>
      </c>
      <c r="E5" s="5" t="s">
        <v>293</v>
      </c>
      <c r="F5" s="3" t="s">
        <v>266</v>
      </c>
      <c r="G5" s="5" t="s">
        <v>294</v>
      </c>
      <c r="H5" s="5" t="s">
        <v>295</v>
      </c>
      <c r="I5" s="5" t="s">
        <v>296</v>
      </c>
      <c r="J5" s="5" t="s">
        <v>297</v>
      </c>
    </row>
    <row r="6" spans="1:10" x14ac:dyDescent="0.2">
      <c r="A6" s="3" t="s">
        <v>298</v>
      </c>
      <c r="B6" s="3" t="s">
        <v>299</v>
      </c>
      <c r="C6" s="3" t="s">
        <v>60</v>
      </c>
      <c r="D6" s="5" t="s">
        <v>300</v>
      </c>
      <c r="E6" s="5" t="s">
        <v>301</v>
      </c>
      <c r="F6" s="3" t="s">
        <v>266</v>
      </c>
      <c r="G6" s="5" t="s">
        <v>302</v>
      </c>
      <c r="H6" s="5" t="s">
        <v>303</v>
      </c>
      <c r="I6" s="5" t="s">
        <v>304</v>
      </c>
      <c r="J6" s="5" t="s">
        <v>305</v>
      </c>
    </row>
    <row r="7" spans="1:10" x14ac:dyDescent="0.2">
      <c r="A7" s="3" t="s">
        <v>306</v>
      </c>
      <c r="B7" s="3" t="s">
        <v>307</v>
      </c>
      <c r="C7" s="3" t="s">
        <v>308</v>
      </c>
      <c r="D7" s="5" t="s">
        <v>309</v>
      </c>
      <c r="E7" s="5" t="s">
        <v>310</v>
      </c>
      <c r="F7" s="3" t="s">
        <v>266</v>
      </c>
      <c r="G7" s="5" t="s">
        <v>311</v>
      </c>
      <c r="H7" s="5" t="s">
        <v>312</v>
      </c>
      <c r="I7" s="5" t="s">
        <v>313</v>
      </c>
      <c r="J7" s="5" t="s">
        <v>314</v>
      </c>
    </row>
    <row r="8" spans="1:10" x14ac:dyDescent="0.2">
      <c r="A8" s="3" t="s">
        <v>315</v>
      </c>
      <c r="B8" s="3" t="s">
        <v>316</v>
      </c>
      <c r="C8" s="3" t="s">
        <v>84</v>
      </c>
      <c r="D8" s="5" t="s">
        <v>317</v>
      </c>
      <c r="E8" s="5" t="s">
        <v>318</v>
      </c>
      <c r="F8" s="3" t="s">
        <v>275</v>
      </c>
      <c r="G8" s="5"/>
      <c r="H8" s="5"/>
      <c r="I8" s="5"/>
      <c r="J8" s="5"/>
    </row>
    <row r="9" spans="1:10" x14ac:dyDescent="0.2">
      <c r="A9" s="3" t="s">
        <v>319</v>
      </c>
      <c r="B9" s="3" t="s">
        <v>320</v>
      </c>
      <c r="C9" s="3" t="s">
        <v>92</v>
      </c>
      <c r="D9" s="5" t="s">
        <v>321</v>
      </c>
      <c r="E9" s="5" t="s">
        <v>322</v>
      </c>
      <c r="F9" s="3" t="s">
        <v>275</v>
      </c>
    </row>
    <row r="10" spans="1:10" x14ac:dyDescent="0.2">
      <c r="A10" s="3" t="s">
        <v>323</v>
      </c>
      <c r="B10" s="3" t="s">
        <v>324</v>
      </c>
      <c r="C10" s="3" t="s">
        <v>97</v>
      </c>
      <c r="D10" s="5" t="s">
        <v>325</v>
      </c>
      <c r="E10" s="5" t="s">
        <v>326</v>
      </c>
      <c r="F10" s="3" t="s">
        <v>275</v>
      </c>
    </row>
    <row r="11" spans="1:10" x14ac:dyDescent="0.2">
      <c r="A11" s="3" t="s">
        <v>327</v>
      </c>
      <c r="B11" s="3" t="s">
        <v>328</v>
      </c>
      <c r="C11" s="3" t="s">
        <v>101</v>
      </c>
      <c r="D11" s="5" t="s">
        <v>329</v>
      </c>
      <c r="E11" s="5" t="s">
        <v>330</v>
      </c>
      <c r="F11" s="3" t="s">
        <v>275</v>
      </c>
    </row>
    <row r="12" spans="1:10" x14ac:dyDescent="0.2">
      <c r="A12" s="3" t="s">
        <v>331</v>
      </c>
      <c r="B12" s="3" t="s">
        <v>332</v>
      </c>
      <c r="C12" s="3" t="s">
        <v>106</v>
      </c>
      <c r="D12" s="5" t="s">
        <v>333</v>
      </c>
      <c r="E12" s="5" t="s">
        <v>334</v>
      </c>
      <c r="F12" s="3" t="s">
        <v>275</v>
      </c>
    </row>
    <row r="13" spans="1:10" x14ac:dyDescent="0.2">
      <c r="A13" s="3" t="s">
        <v>335</v>
      </c>
      <c r="B13" s="3" t="s">
        <v>336</v>
      </c>
      <c r="C13" s="3" t="s">
        <v>116</v>
      </c>
      <c r="D13" s="5" t="s">
        <v>337</v>
      </c>
      <c r="E13" s="5" t="s">
        <v>338</v>
      </c>
      <c r="F13" s="3" t="s">
        <v>275</v>
      </c>
    </row>
    <row r="14" spans="1:10" x14ac:dyDescent="0.2">
      <c r="A14" s="3" t="s">
        <v>339</v>
      </c>
      <c r="B14" s="3" t="s">
        <v>340</v>
      </c>
      <c r="C14" s="3" t="s">
        <v>127</v>
      </c>
      <c r="D14" s="5" t="s">
        <v>341</v>
      </c>
      <c r="E14" s="5" t="s">
        <v>342</v>
      </c>
      <c r="F14" s="3" t="s">
        <v>275</v>
      </c>
    </row>
    <row r="15" spans="1:10" x14ac:dyDescent="0.2">
      <c r="A15" s="3" t="s">
        <v>343</v>
      </c>
      <c r="B15" s="3" t="s">
        <v>344</v>
      </c>
      <c r="C15" s="3" t="s">
        <v>345</v>
      </c>
      <c r="D15" s="5" t="s">
        <v>346</v>
      </c>
      <c r="E15" s="5" t="s">
        <v>347</v>
      </c>
      <c r="F15" s="3" t="s">
        <v>275</v>
      </c>
    </row>
    <row r="16" spans="1:10" x14ac:dyDescent="0.2">
      <c r="A16" s="3" t="s">
        <v>348</v>
      </c>
      <c r="B16" s="3" t="s">
        <v>349</v>
      </c>
      <c r="C16" s="3" t="s">
        <v>7</v>
      </c>
      <c r="D16" s="5" t="s">
        <v>350</v>
      </c>
      <c r="E16" s="5" t="s">
        <v>351</v>
      </c>
      <c r="F16" s="3" t="s">
        <v>352</v>
      </c>
    </row>
    <row r="17" spans="1:6" x14ac:dyDescent="0.2">
      <c r="A17" s="3" t="s">
        <v>353</v>
      </c>
      <c r="B17" s="3" t="s">
        <v>354</v>
      </c>
      <c r="C17" s="3" t="s">
        <v>106</v>
      </c>
      <c r="D17" s="5" t="s">
        <v>355</v>
      </c>
      <c r="E17" s="5" t="s">
        <v>356</v>
      </c>
      <c r="F17" s="3" t="s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4"/>
  <sheetViews>
    <sheetView tabSelected="1" topLeftCell="F1" workbookViewId="0">
      <selection activeCell="T14" sqref="T14"/>
    </sheetView>
  </sheetViews>
  <sheetFormatPr defaultColWidth="12.5703125" defaultRowHeight="15.75" customHeight="1" x14ac:dyDescent="0.2"/>
  <cols>
    <col min="1" max="1" width="25.28515625" customWidth="1"/>
    <col min="2" max="2" width="36.85546875" customWidth="1"/>
    <col min="3" max="3" width="38.42578125" customWidth="1"/>
    <col min="4" max="4" width="29.7109375" customWidth="1"/>
    <col min="5" max="5" width="35.7109375" customWidth="1"/>
    <col min="7" max="7" width="31.42578125" customWidth="1"/>
  </cols>
  <sheetData>
    <row r="1" spans="1:8" x14ac:dyDescent="0.2">
      <c r="A1" s="3" t="s">
        <v>545</v>
      </c>
    </row>
    <row r="2" spans="1:8" x14ac:dyDescent="0.2">
      <c r="A2" s="3" t="s">
        <v>548</v>
      </c>
      <c r="B2" s="3" t="s">
        <v>551</v>
      </c>
      <c r="G2" s="3" t="s">
        <v>553</v>
      </c>
      <c r="H2" s="3" t="s">
        <v>554</v>
      </c>
    </row>
    <row r="3" spans="1:8" x14ac:dyDescent="0.2">
      <c r="A3" s="3" t="s">
        <v>556</v>
      </c>
      <c r="B3" s="3" t="s">
        <v>558</v>
      </c>
      <c r="G3" s="3" t="s">
        <v>266</v>
      </c>
      <c r="H3" s="6">
        <f>COUNTIF(Balance_Risks!F:F,"Analyzed — Needs Playtest")</f>
        <v>5</v>
      </c>
    </row>
    <row r="4" spans="1:8" x14ac:dyDescent="0.2">
      <c r="A4" s="3" t="s">
        <v>580</v>
      </c>
      <c r="B4" s="6">
        <f>COUNTA(Unit_Balance!A2:A1000)</f>
        <v>12</v>
      </c>
      <c r="G4" s="3" t="s">
        <v>275</v>
      </c>
      <c r="H4" s="6">
        <f>COUNTIF(Balance_Risks!F:F,"Not Tested")</f>
        <v>9</v>
      </c>
    </row>
    <row r="5" spans="1:8" x14ac:dyDescent="0.2">
      <c r="A5" s="3" t="s">
        <v>603</v>
      </c>
      <c r="B5" s="6">
        <f ca="1">IFERROR(__xludf.DUMMYFUNCTION("COUNTUNIQUE(FILTER(Faction_Identity!A2:A1000,Faction_Identity!A2:A1000&lt;&gt;""""))"),3)</f>
        <v>3</v>
      </c>
      <c r="G5" s="3" t="s">
        <v>612</v>
      </c>
      <c r="H5" s="6">
        <f>COUNTIF(Balance_Risks!F:F,"Blocked by Missing Parameter")</f>
        <v>0</v>
      </c>
    </row>
    <row r="6" spans="1:8" x14ac:dyDescent="0.2">
      <c r="A6" s="3" t="s">
        <v>618</v>
      </c>
      <c r="B6" s="6">
        <f ca="1">IFERROR(__xludf.DUMMYFUNCTION("COUNTUNIQUE(FILTER(Ability_Balance!A2:A1000,Ability_Balance!A2:A1000&lt;&gt;""""))"),12)</f>
        <v>12</v>
      </c>
      <c r="G6" s="3" t="s">
        <v>352</v>
      </c>
      <c r="H6" s="6">
        <f>COUNTIF(Balance_Risks!F:F,"Adjusted — Retest Required")</f>
        <v>2</v>
      </c>
    </row>
    <row r="7" spans="1:8" x14ac:dyDescent="0.2">
      <c r="A7" s="3" t="s">
        <v>630</v>
      </c>
      <c r="B7" s="6">
        <f>COUNTA(Balance_Risks!A2:A1000)</f>
        <v>16</v>
      </c>
    </row>
    <row r="8" spans="1:8" x14ac:dyDescent="0.2">
      <c r="A8" s="3" t="s">
        <v>631</v>
      </c>
      <c r="B8" s="6">
        <f>COUNTIF(Balance_Risks!F2:F1000,"Analyzed — Needs Playtest")</f>
        <v>5</v>
      </c>
    </row>
    <row r="9" spans="1:8" x14ac:dyDescent="0.2">
      <c r="A9" s="3" t="s">
        <v>632</v>
      </c>
      <c r="B9" s="6">
        <f>COUNTIF(Balance_Risks!F2:F1000,"Not Tested")</f>
        <v>9</v>
      </c>
      <c r="G9" s="3" t="s">
        <v>633</v>
      </c>
      <c r="H9" s="3" t="s">
        <v>64</v>
      </c>
    </row>
    <row r="10" spans="1:8" x14ac:dyDescent="0.2">
      <c r="A10" s="3" t="s">
        <v>634</v>
      </c>
      <c r="B10" s="6">
        <f>COUNTIF(Balance_Risks!F2:F1000,"Blocked by Missing Parameter")</f>
        <v>0</v>
      </c>
      <c r="G10" s="3" t="s">
        <v>635</v>
      </c>
      <c r="H10" s="6">
        <f t="shared" ref="H10:H14" si="0">B8</f>
        <v>5</v>
      </c>
    </row>
    <row r="11" spans="1:8" x14ac:dyDescent="0.2">
      <c r="A11" s="3" t="s">
        <v>636</v>
      </c>
      <c r="B11" s="6">
        <f>COUNTIF(Balance_Risks!F2:F1000,"Adjusted — Retest Required")</f>
        <v>2</v>
      </c>
      <c r="G11" s="3" t="s">
        <v>637</v>
      </c>
      <c r="H11" s="6">
        <f t="shared" si="0"/>
        <v>9</v>
      </c>
    </row>
    <row r="12" spans="1:8" x14ac:dyDescent="0.2">
      <c r="A12" s="3" t="s">
        <v>638</v>
      </c>
      <c r="B12" s="6">
        <f>COUNTA(Combat_Scenarios!A2:A1000)</f>
        <v>13</v>
      </c>
      <c r="G12" s="3" t="s">
        <v>639</v>
      </c>
      <c r="H12" s="6">
        <f t="shared" si="0"/>
        <v>0</v>
      </c>
    </row>
    <row r="13" spans="1:8" x14ac:dyDescent="0.2">
      <c r="A13" s="3" t="s">
        <v>640</v>
      </c>
      <c r="B13" s="6">
        <f>COUNTA(Interaction_Matrix!A2:A1000)</f>
        <v>29</v>
      </c>
      <c r="G13" s="3" t="s">
        <v>641</v>
      </c>
      <c r="H13" s="6">
        <f t="shared" si="0"/>
        <v>2</v>
      </c>
    </row>
    <row r="14" spans="1:8" x14ac:dyDescent="0.2">
      <c r="A14" s="3" t="s">
        <v>642</v>
      </c>
      <c r="B14" s="6">
        <f>COUNTA(Balance_Tests!A2:A1000)</f>
        <v>8</v>
      </c>
      <c r="G14" s="3" t="s">
        <v>643</v>
      </c>
      <c r="H14" s="6">
        <f t="shared" si="0"/>
        <v>13</v>
      </c>
    </row>
    <row r="15" spans="1:8" x14ac:dyDescent="0.2">
      <c r="G15" s="3" t="s">
        <v>644</v>
      </c>
      <c r="H15" s="6">
        <f>B14</f>
        <v>8</v>
      </c>
    </row>
    <row r="16" spans="1:8" x14ac:dyDescent="0.2">
      <c r="A16" s="3" t="s">
        <v>645</v>
      </c>
      <c r="B16" s="3" t="s">
        <v>64</v>
      </c>
    </row>
    <row r="17" spans="1:8" x14ac:dyDescent="0.2">
      <c r="A17" s="3" t="s">
        <v>646</v>
      </c>
      <c r="B17" s="12">
        <f>B8/B7</f>
        <v>0.3125</v>
      </c>
    </row>
    <row r="18" spans="1:8" x14ac:dyDescent="0.2">
      <c r="A18" s="3" t="s">
        <v>647</v>
      </c>
      <c r="B18" s="12">
        <f>B9/B7</f>
        <v>0.5625</v>
      </c>
      <c r="G18" s="3" t="s">
        <v>648</v>
      </c>
      <c r="H18" s="3" t="s">
        <v>64</v>
      </c>
    </row>
    <row r="19" spans="1:8" x14ac:dyDescent="0.2">
      <c r="A19" s="3" t="s">
        <v>649</v>
      </c>
      <c r="B19" s="12">
        <f>B10/B7</f>
        <v>0</v>
      </c>
      <c r="G19" s="3" t="s">
        <v>650</v>
      </c>
      <c r="H19" s="6">
        <f>32%</f>
        <v>0.32</v>
      </c>
    </row>
    <row r="20" spans="1:8" x14ac:dyDescent="0.2">
      <c r="A20" s="3" t="s">
        <v>651</v>
      </c>
      <c r="B20" s="12">
        <f>B11/B7</f>
        <v>0.125</v>
      </c>
      <c r="G20" s="3" t="s">
        <v>652</v>
      </c>
      <c r="H20" s="6">
        <f>35%</f>
        <v>0.35</v>
      </c>
    </row>
    <row r="21" spans="1:8" x14ac:dyDescent="0.2">
      <c r="A21" s="3" t="s">
        <v>653</v>
      </c>
      <c r="B21" s="12">
        <f>(B8+B11)/B7</f>
        <v>0.4375</v>
      </c>
      <c r="G21" s="3" t="s">
        <v>654</v>
      </c>
      <c r="H21" s="6">
        <f>40%</f>
        <v>0.4</v>
      </c>
    </row>
    <row r="22" spans="1:8" x14ac:dyDescent="0.2">
      <c r="A22" s="3" t="s">
        <v>655</v>
      </c>
      <c r="B22" s="16">
        <f>B12/B4</f>
        <v>1.0833333333333333</v>
      </c>
      <c r="G22" s="3" t="s">
        <v>656</v>
      </c>
      <c r="H22" s="6">
        <f>75%</f>
        <v>0.75</v>
      </c>
    </row>
    <row r="23" spans="1:8" x14ac:dyDescent="0.2">
      <c r="A23" s="3" t="s">
        <v>660</v>
      </c>
      <c r="B23" s="16">
        <f>B13/B4</f>
        <v>2.4166666666666665</v>
      </c>
      <c r="G23" s="3" t="s">
        <v>669</v>
      </c>
      <c r="H23" s="6">
        <f>20%</f>
        <v>0.2</v>
      </c>
    </row>
    <row r="24" spans="1:8" x14ac:dyDescent="0.2">
      <c r="A24" s="3" t="s">
        <v>675</v>
      </c>
      <c r="B24" s="16">
        <f>B14/B7</f>
        <v>0.5</v>
      </c>
    </row>
    <row r="26" spans="1:8" x14ac:dyDescent="0.2">
      <c r="A26" s="3" t="s">
        <v>676</v>
      </c>
      <c r="B26" s="6" t="str">
        <f>IF(B8+B9+B10+B11=B7,"OK","CHECK STATUSES")</f>
        <v>OK</v>
      </c>
    </row>
    <row r="27" spans="1:8" x14ac:dyDescent="0.2">
      <c r="A27" s="3" t="s">
        <v>677</v>
      </c>
      <c r="B27" s="6" t="str">
        <f ca="1">IF(B4=B5*4,"OK","CHECK ROSTER")</f>
        <v>OK</v>
      </c>
    </row>
    <row r="30" spans="1:8" x14ac:dyDescent="0.2">
      <c r="A30" s="3" t="s">
        <v>678</v>
      </c>
      <c r="B30" s="3" t="s">
        <v>679</v>
      </c>
      <c r="C30" s="3" t="s">
        <v>680</v>
      </c>
      <c r="D30" s="3" t="s">
        <v>681</v>
      </c>
      <c r="E30" s="3" t="s">
        <v>682</v>
      </c>
    </row>
    <row r="31" spans="1:8" x14ac:dyDescent="0.2">
      <c r="A31" s="3" t="s">
        <v>683</v>
      </c>
      <c r="B31" s="5" t="s">
        <v>684</v>
      </c>
      <c r="C31" s="5" t="s">
        <v>685</v>
      </c>
      <c r="D31" s="5" t="s">
        <v>686</v>
      </c>
      <c r="E31" s="5" t="s">
        <v>687</v>
      </c>
    </row>
    <row r="32" spans="1:8" x14ac:dyDescent="0.2">
      <c r="A32" s="3" t="s">
        <v>688</v>
      </c>
      <c r="B32" s="5" t="s">
        <v>689</v>
      </c>
      <c r="C32" s="5" t="s">
        <v>690</v>
      </c>
      <c r="D32" s="5" t="s">
        <v>691</v>
      </c>
      <c r="E32" s="5" t="s">
        <v>692</v>
      </c>
    </row>
    <row r="33" spans="1:5" x14ac:dyDescent="0.2">
      <c r="A33" s="3" t="s">
        <v>693</v>
      </c>
      <c r="B33" s="5" t="s">
        <v>694</v>
      </c>
      <c r="C33" s="5" t="s">
        <v>695</v>
      </c>
      <c r="D33" s="5" t="s">
        <v>696</v>
      </c>
      <c r="E33" s="5" t="s">
        <v>697</v>
      </c>
    </row>
    <row r="34" spans="1:5" x14ac:dyDescent="0.2">
      <c r="A34" s="3" t="s">
        <v>570</v>
      </c>
      <c r="B34" s="5" t="s">
        <v>698</v>
      </c>
      <c r="C34" s="5" t="s">
        <v>699</v>
      </c>
      <c r="D34" s="5" t="s">
        <v>700</v>
      </c>
      <c r="E34" s="5" t="s">
        <v>701</v>
      </c>
    </row>
    <row r="35" spans="1:5" x14ac:dyDescent="0.2">
      <c r="A35" s="3" t="s">
        <v>702</v>
      </c>
      <c r="B35" s="5" t="s">
        <v>450</v>
      </c>
      <c r="C35" s="5" t="s">
        <v>703</v>
      </c>
      <c r="D35" s="5" t="s">
        <v>704</v>
      </c>
      <c r="E35" s="5" t="s">
        <v>705</v>
      </c>
    </row>
    <row r="36" spans="1:5" x14ac:dyDescent="0.2">
      <c r="A36" s="3" t="s">
        <v>706</v>
      </c>
      <c r="B36" s="5" t="s">
        <v>458</v>
      </c>
      <c r="C36" s="5" t="s">
        <v>707</v>
      </c>
      <c r="D36" s="5" t="s">
        <v>708</v>
      </c>
      <c r="E36" s="5" t="s">
        <v>709</v>
      </c>
    </row>
    <row r="37" spans="1:5" x14ac:dyDescent="0.2">
      <c r="A37" s="3" t="s">
        <v>710</v>
      </c>
      <c r="B37" s="5" t="s">
        <v>592</v>
      </c>
      <c r="C37" s="5" t="s">
        <v>711</v>
      </c>
      <c r="D37" s="5" t="s">
        <v>712</v>
      </c>
      <c r="E37" s="5" t="s">
        <v>713</v>
      </c>
    </row>
    <row r="40" spans="1:5" x14ac:dyDescent="0.2">
      <c r="A40" s="3" t="s">
        <v>714</v>
      </c>
      <c r="B40" s="3" t="s">
        <v>715</v>
      </c>
      <c r="C40" s="3" t="s">
        <v>716</v>
      </c>
    </row>
    <row r="41" spans="1:5" x14ac:dyDescent="0.2">
      <c r="A41" s="5" t="s">
        <v>717</v>
      </c>
      <c r="B41" s="5" t="s">
        <v>718</v>
      </c>
      <c r="C41" s="5" t="s">
        <v>719</v>
      </c>
      <c r="D41" s="14"/>
    </row>
    <row r="42" spans="1:5" x14ac:dyDescent="0.2">
      <c r="A42" s="5" t="s">
        <v>720</v>
      </c>
      <c r="B42" s="5" t="s">
        <v>721</v>
      </c>
      <c r="C42" s="5" t="s">
        <v>722</v>
      </c>
      <c r="D42" s="14"/>
    </row>
    <row r="43" spans="1:5" x14ac:dyDescent="0.2">
      <c r="A43" s="5" t="s">
        <v>723</v>
      </c>
      <c r="B43" s="5" t="s">
        <v>724</v>
      </c>
      <c r="C43" s="5" t="s">
        <v>725</v>
      </c>
      <c r="D43" s="14"/>
    </row>
    <row r="44" spans="1:5" x14ac:dyDescent="0.2">
      <c r="A44" s="5" t="s">
        <v>726</v>
      </c>
      <c r="B44" s="5" t="s">
        <v>727</v>
      </c>
      <c r="C44" s="5" t="s">
        <v>728</v>
      </c>
      <c r="D44" s="14"/>
    </row>
    <row r="45" spans="1:5" x14ac:dyDescent="0.2">
      <c r="A45" s="5" t="s">
        <v>729</v>
      </c>
      <c r="B45" s="5" t="s">
        <v>730</v>
      </c>
      <c r="C45" s="5" t="s">
        <v>731</v>
      </c>
      <c r="D45" s="14"/>
    </row>
    <row r="48" spans="1:5" x14ac:dyDescent="0.2">
      <c r="A48" s="3" t="s">
        <v>732</v>
      </c>
      <c r="B48" s="3" t="s">
        <v>733</v>
      </c>
    </row>
    <row r="49" spans="1:2" x14ac:dyDescent="0.2">
      <c r="A49" s="3" t="s">
        <v>734</v>
      </c>
      <c r="B49" s="5" t="s">
        <v>735</v>
      </c>
    </row>
    <row r="50" spans="1:2" x14ac:dyDescent="0.2">
      <c r="A50" s="3" t="s">
        <v>736</v>
      </c>
      <c r="B50" s="5" t="s">
        <v>737</v>
      </c>
    </row>
    <row r="51" spans="1:2" x14ac:dyDescent="0.2">
      <c r="A51" s="3" t="s">
        <v>738</v>
      </c>
      <c r="B51" s="5" t="s">
        <v>739</v>
      </c>
    </row>
    <row r="52" spans="1:2" x14ac:dyDescent="0.2">
      <c r="A52" s="3" t="s">
        <v>740</v>
      </c>
      <c r="B52" s="5" t="s">
        <v>741</v>
      </c>
    </row>
    <row r="53" spans="1:2" x14ac:dyDescent="0.2">
      <c r="A53" s="3" t="s">
        <v>742</v>
      </c>
      <c r="B53" s="5" t="s">
        <v>743</v>
      </c>
    </row>
    <row r="54" spans="1:2" x14ac:dyDescent="0.2">
      <c r="A54" s="3" t="s">
        <v>744</v>
      </c>
      <c r="B54" s="5" t="s">
        <v>745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"/>
  <sheetViews>
    <sheetView workbookViewId="0"/>
  </sheetViews>
  <sheetFormatPr defaultColWidth="12.5703125" defaultRowHeight="15.75" customHeight="1" x14ac:dyDescent="0.2"/>
  <cols>
    <col min="2" max="2" width="17.42578125" customWidth="1"/>
    <col min="12" max="12" width="21" customWidth="1"/>
    <col min="21" max="21" width="13.7109375" customWidth="1"/>
  </cols>
  <sheetData>
    <row r="1" spans="1:25" x14ac:dyDescent="0.2">
      <c r="A1" s="3" t="s">
        <v>0</v>
      </c>
      <c r="B1" s="3" t="s">
        <v>2</v>
      </c>
      <c r="C1" s="3" t="s">
        <v>8</v>
      </c>
      <c r="D1" s="3" t="s">
        <v>36</v>
      </c>
      <c r="E1" s="3" t="s">
        <v>13</v>
      </c>
      <c r="F1" s="3" t="s">
        <v>25</v>
      </c>
      <c r="G1" s="3" t="s">
        <v>40</v>
      </c>
      <c r="H1" s="3" t="s">
        <v>43</v>
      </c>
      <c r="I1" s="3" t="s">
        <v>359</v>
      </c>
      <c r="J1" s="3" t="s">
        <v>360</v>
      </c>
      <c r="K1" s="3" t="s">
        <v>361</v>
      </c>
      <c r="L1" s="3" t="s">
        <v>362</v>
      </c>
      <c r="M1" s="5" t="s">
        <v>363</v>
      </c>
      <c r="N1" s="5" t="s">
        <v>364</v>
      </c>
      <c r="O1" s="5" t="s">
        <v>365</v>
      </c>
      <c r="P1" s="5" t="s">
        <v>366</v>
      </c>
      <c r="Q1" s="5" t="s">
        <v>367</v>
      </c>
      <c r="R1" s="5" t="s">
        <v>29</v>
      </c>
      <c r="S1" s="5" t="s">
        <v>368</v>
      </c>
      <c r="T1" s="5" t="s">
        <v>369</v>
      </c>
      <c r="U1" s="5" t="s">
        <v>370</v>
      </c>
      <c r="V1" s="5" t="s">
        <v>33</v>
      </c>
      <c r="W1" s="5" t="s">
        <v>371</v>
      </c>
      <c r="X1" s="5" t="s">
        <v>372</v>
      </c>
      <c r="Y1" s="5" t="s">
        <v>373</v>
      </c>
    </row>
    <row r="2" spans="1:25" x14ac:dyDescent="0.2">
      <c r="A2" s="3" t="s">
        <v>7</v>
      </c>
      <c r="B2" s="3" t="s">
        <v>49</v>
      </c>
      <c r="C2" s="3" t="s">
        <v>50</v>
      </c>
      <c r="D2" s="6">
        <f>VLOOKUP(A2,Unit_Balance!$A$2:$N$13,12,FALSE)</f>
        <v>85</v>
      </c>
      <c r="E2" s="6">
        <f>VLOOKUP(A2,Unit_Balance!$A$2:$N$13,6,FALSE)</f>
        <v>800</v>
      </c>
      <c r="F2" s="6">
        <f>VLOOKUP(A2,Unit_Balance!$A$2:$N$13,9,FALSE)</f>
        <v>90</v>
      </c>
      <c r="G2" s="6">
        <f t="shared" ref="G2:G13" si="0">E2/D2</f>
        <v>9.4117647058823533</v>
      </c>
      <c r="H2" s="6">
        <f t="shared" ref="H2:H13" si="1">F2/D2</f>
        <v>1.0588235294117647</v>
      </c>
      <c r="I2" s="6">
        <f t="shared" ref="I2:I13" si="2">G2/AVERAGE($G$2:$G$13)</f>
        <v>1.0641851512654301</v>
      </c>
      <c r="J2" s="6">
        <f t="shared" ref="J2:J13" si="3">H2/AVERAGE($H$2:$H$13)</f>
        <v>1.3574865910700673</v>
      </c>
      <c r="K2" s="12">
        <f t="shared" ref="K2:L2" si="4">I2-1</f>
        <v>6.4185151265430118E-2</v>
      </c>
      <c r="L2" s="12">
        <f t="shared" si="4"/>
        <v>0.35748659107006731</v>
      </c>
      <c r="M2" s="6">
        <f t="shared" ref="M2:M13" si="5">AVERAGEIF($C$2:$C$13,C2,$G$2:$G$13)</f>
        <v>9.6372549019607856</v>
      </c>
      <c r="N2" s="6">
        <f t="shared" ref="N2:N13" si="6">AVERAGEIF($C$2:$C$13,C2,$H$2:$H$13)</f>
        <v>0.96405228758169936</v>
      </c>
      <c r="O2" s="6">
        <f t="shared" ref="O2:P2" si="7">G2/M2</f>
        <v>0.97660223804679547</v>
      </c>
      <c r="P2" s="6">
        <f t="shared" si="7"/>
        <v>1.0983050847457627</v>
      </c>
      <c r="Q2" s="6" t="str">
        <f t="shared" ref="Q2:Q13" si="8">IF(OR(O2&gt;1.2,O2&lt;0.8,P2&gt;1.2,P2&lt;0.8),"CHECK",IF(OR(O2&gt;1.1,O2&lt;0.9,P2&gt;1.1,P2&lt;0.9),"WATCH","OK"))</f>
        <v>OK</v>
      </c>
      <c r="R2" s="6">
        <f>VLOOKUP(A2,Unit_Balance!$A:$N,10,FALSE)</f>
        <v>1</v>
      </c>
      <c r="S2" s="6">
        <f t="shared" ref="S2:S13" si="9">R2/D2</f>
        <v>1.1764705882352941E-2</v>
      </c>
      <c r="T2" s="6">
        <f t="shared" ref="T2:T13" si="10">AVERAGEIF($C$2:$C$13,C2,$S$2:$S$13)</f>
        <v>1.0958605664488018E-2</v>
      </c>
      <c r="U2" s="6">
        <f t="shared" ref="U2:U13" si="11">S2/T2</f>
        <v>1.0735586481113319</v>
      </c>
      <c r="V2" s="6">
        <f>VLOOKUP(A2,Unit_Balance!$A:$N,11,FALSE)</f>
        <v>2</v>
      </c>
      <c r="W2" s="6">
        <f t="shared" ref="W2:W13" si="12">V2/D2</f>
        <v>2.3529411764705882E-2</v>
      </c>
      <c r="X2" s="6">
        <f t="shared" ref="X2:X13" si="13">AVERAGEIF($C$2:$C$13,C2,$W$2:$W$13)</f>
        <v>2.4065359477124182E-2</v>
      </c>
      <c r="Y2" s="6">
        <f t="shared" ref="Y2:Y13" si="14">W2/X2</f>
        <v>0.97772949483976102</v>
      </c>
    </row>
    <row r="3" spans="1:25" x14ac:dyDescent="0.2">
      <c r="A3" s="3" t="s">
        <v>56</v>
      </c>
      <c r="B3" s="3" t="s">
        <v>151</v>
      </c>
      <c r="C3" s="3" t="s">
        <v>153</v>
      </c>
      <c r="D3" s="6">
        <f>VLOOKUP(A3,Unit_Balance!$A$2:$N$13,12,FALSE)</f>
        <v>140</v>
      </c>
      <c r="E3" s="6">
        <f>VLOOKUP(A3,Unit_Balance!$A$2:$N$13,6,FALSE)</f>
        <v>1440</v>
      </c>
      <c r="F3" s="6">
        <f>VLOOKUP(A3,Unit_Balance!$A$2:$N$13,9,FALSE)</f>
        <v>60</v>
      </c>
      <c r="G3" s="6">
        <f t="shared" si="0"/>
        <v>10.285714285714286</v>
      </c>
      <c r="H3" s="6">
        <f t="shared" si="1"/>
        <v>0.42857142857142855</v>
      </c>
      <c r="I3" s="6">
        <f t="shared" si="2"/>
        <v>1.1630023438829344</v>
      </c>
      <c r="J3" s="6">
        <f t="shared" si="3"/>
        <v>0.54945885829026531</v>
      </c>
      <c r="K3" s="12">
        <f t="shared" ref="K3:L3" si="15">I3-1</f>
        <v>0.16300234388293444</v>
      </c>
      <c r="L3" s="12">
        <f t="shared" si="15"/>
        <v>-0.45054114170973469</v>
      </c>
      <c r="M3" s="6">
        <f t="shared" si="5"/>
        <v>11.442246642246644</v>
      </c>
      <c r="N3" s="6">
        <f t="shared" si="6"/>
        <v>0.43003663003663001</v>
      </c>
      <c r="O3" s="6">
        <f t="shared" ref="O3:P3" si="16">G3/M3</f>
        <v>0.89892436400887821</v>
      </c>
      <c r="P3" s="6">
        <f t="shared" si="16"/>
        <v>0.99659284497444633</v>
      </c>
      <c r="Q3" s="6" t="str">
        <f t="shared" si="8"/>
        <v>WATCH</v>
      </c>
      <c r="R3" s="6">
        <f>VLOOKUP(A3,Unit_Balance!$A:$N,10,FALSE)</f>
        <v>1</v>
      </c>
      <c r="S3" s="6">
        <f t="shared" si="9"/>
        <v>7.1428571428571426E-3</v>
      </c>
      <c r="T3" s="6">
        <f t="shared" si="10"/>
        <v>7.1672771672771675E-3</v>
      </c>
      <c r="U3" s="6">
        <f t="shared" si="11"/>
        <v>0.99659284497444622</v>
      </c>
      <c r="V3" s="6">
        <f>VLOOKUP(A3,Unit_Balance!$A:$N,11,FALSE)</f>
        <v>1.4</v>
      </c>
      <c r="W3" s="6">
        <f t="shared" si="12"/>
        <v>0.01</v>
      </c>
      <c r="X3" s="6">
        <f t="shared" si="13"/>
        <v>9.6581196581196575E-3</v>
      </c>
      <c r="Y3" s="6">
        <f t="shared" si="14"/>
        <v>1.0353982300884956</v>
      </c>
    </row>
    <row r="4" spans="1:25" x14ac:dyDescent="0.2">
      <c r="A4" s="3" t="s">
        <v>60</v>
      </c>
      <c r="B4" s="3" t="s">
        <v>167</v>
      </c>
      <c r="C4" s="3" t="s">
        <v>168</v>
      </c>
      <c r="D4" s="6">
        <f>VLOOKUP(A4,Unit_Balance!$A$2:$N$13,12,FALSE)</f>
        <v>95</v>
      </c>
      <c r="E4" s="6">
        <f>VLOOKUP(A4,Unit_Balance!$A$2:$N$13,6,FALSE)</f>
        <v>800</v>
      </c>
      <c r="F4" s="6">
        <f>VLOOKUP(A4,Unit_Balance!$A$2:$N$13,9,FALSE)</f>
        <v>110</v>
      </c>
      <c r="G4" s="6">
        <f t="shared" si="0"/>
        <v>8.4210526315789469</v>
      </c>
      <c r="H4" s="6">
        <f t="shared" si="1"/>
        <v>1.1578947368421053</v>
      </c>
      <c r="I4" s="6">
        <f t="shared" si="2"/>
        <v>0.95216566165854266</v>
      </c>
      <c r="J4" s="6">
        <f t="shared" si="3"/>
        <v>1.4845028802929976</v>
      </c>
      <c r="K4" s="12">
        <f t="shared" ref="K4:L4" si="17">I4-1</f>
        <v>-4.7834338341457339E-2</v>
      </c>
      <c r="L4" s="12">
        <f t="shared" si="17"/>
        <v>0.4845028802929976</v>
      </c>
      <c r="M4" s="6">
        <f t="shared" si="5"/>
        <v>7.8979266347687398</v>
      </c>
      <c r="N4" s="6">
        <f t="shared" si="6"/>
        <v>1.0859649122807018</v>
      </c>
      <c r="O4" s="6">
        <f t="shared" ref="O4:P4" si="18">G4/M4</f>
        <v>1.0662358642972536</v>
      </c>
      <c r="P4" s="6">
        <f t="shared" si="18"/>
        <v>1.0662358642972536</v>
      </c>
      <c r="Q4" s="6" t="str">
        <f t="shared" si="8"/>
        <v>OK</v>
      </c>
      <c r="R4" s="6">
        <f>VLOOKUP(A4,Unit_Balance!$A:$N,10,FALSE)</f>
        <v>5</v>
      </c>
      <c r="S4" s="6">
        <f t="shared" si="9"/>
        <v>5.2631578947368418E-2</v>
      </c>
      <c r="T4" s="6">
        <f t="shared" si="10"/>
        <v>4.7543859649122805E-2</v>
      </c>
      <c r="U4" s="6">
        <f t="shared" si="11"/>
        <v>1.107011070110701</v>
      </c>
      <c r="V4" s="6">
        <f>VLOOKUP(A4,Unit_Balance!$A:$N,11,FALSE)</f>
        <v>2.2000000000000002</v>
      </c>
      <c r="W4" s="6">
        <f t="shared" si="12"/>
        <v>2.3157894736842106E-2</v>
      </c>
      <c r="X4" s="6">
        <f t="shared" si="13"/>
        <v>1.8901116427432221E-2</v>
      </c>
      <c r="Y4" s="6">
        <f t="shared" si="14"/>
        <v>1.2252130621888446</v>
      </c>
    </row>
    <row r="5" spans="1:25" x14ac:dyDescent="0.2">
      <c r="A5" s="3" t="s">
        <v>67</v>
      </c>
      <c r="B5" s="3" t="s">
        <v>214</v>
      </c>
      <c r="C5" s="3" t="s">
        <v>216</v>
      </c>
      <c r="D5" s="6">
        <f>VLOOKUP(A5,Unit_Balance!$A$2:$N$13,12,FALSE)</f>
        <v>110</v>
      </c>
      <c r="E5" s="6">
        <f>VLOOKUP(A5,Unit_Balance!$A$2:$N$13,6,FALSE)</f>
        <v>700</v>
      </c>
      <c r="F5" s="6">
        <f>VLOOKUP(A5,Unit_Balance!$A$2:$N$13,9,FALSE)</f>
        <v>70</v>
      </c>
      <c r="G5" s="6">
        <f t="shared" si="0"/>
        <v>6.3636363636363633</v>
      </c>
      <c r="H5" s="6">
        <f t="shared" si="1"/>
        <v>0.63636363636363635</v>
      </c>
      <c r="I5" s="6">
        <f t="shared" si="2"/>
        <v>0.71953427841242146</v>
      </c>
      <c r="J5" s="6">
        <f t="shared" si="3"/>
        <v>0.81586315321887881</v>
      </c>
      <c r="K5" s="12">
        <f t="shared" ref="K5:L5" si="19">I5-1</f>
        <v>-0.28046572158757854</v>
      </c>
      <c r="L5" s="12">
        <f t="shared" si="19"/>
        <v>-0.18413684678112119</v>
      </c>
      <c r="M5" s="6">
        <f t="shared" si="5"/>
        <v>6.3989898989898988</v>
      </c>
      <c r="N5" s="6">
        <f t="shared" si="6"/>
        <v>0.63989898989898986</v>
      </c>
      <c r="O5" s="6">
        <f t="shared" ref="O5:P5" si="20">G5/M5</f>
        <v>0.99447513812154698</v>
      </c>
      <c r="P5" s="6">
        <f t="shared" si="20"/>
        <v>0.99447513812154698</v>
      </c>
      <c r="Q5" s="6" t="str">
        <f t="shared" si="8"/>
        <v>OK</v>
      </c>
      <c r="R5" s="6">
        <f>VLOOKUP(A5,Unit_Balance!$A:$N,10,FALSE)</f>
        <v>5</v>
      </c>
      <c r="S5" s="6">
        <f t="shared" si="9"/>
        <v>4.5454545454545456E-2</v>
      </c>
      <c r="T5" s="6">
        <f t="shared" si="10"/>
        <v>3.2373737373737374E-2</v>
      </c>
      <c r="U5" s="6">
        <f t="shared" si="11"/>
        <v>1.40405616224649</v>
      </c>
      <c r="V5" s="6">
        <f>VLOOKUP(A5,Unit_Balance!$A:$N,11,FALSE)</f>
        <v>1.6</v>
      </c>
      <c r="W5" s="6">
        <f t="shared" si="12"/>
        <v>1.4545454545454545E-2</v>
      </c>
      <c r="X5" s="6">
        <f t="shared" si="13"/>
        <v>1.9070707070707071E-2</v>
      </c>
      <c r="Y5" s="6">
        <f t="shared" si="14"/>
        <v>0.76271186440677963</v>
      </c>
    </row>
    <row r="6" spans="1:25" x14ac:dyDescent="0.2">
      <c r="A6" s="3" t="s">
        <v>84</v>
      </c>
      <c r="B6" s="3" t="s">
        <v>263</v>
      </c>
      <c r="C6" s="3" t="s">
        <v>50</v>
      </c>
      <c r="D6" s="6">
        <f>VLOOKUP(A6,Unit_Balance!$A$2:$N$13,12,FALSE)</f>
        <v>100</v>
      </c>
      <c r="E6" s="6">
        <f>VLOOKUP(A6,Unit_Balance!$A$2:$N$13,6,FALSE)</f>
        <v>950</v>
      </c>
      <c r="F6" s="6">
        <f>VLOOKUP(A6,Unit_Balance!$A$2:$N$13,9,FALSE)</f>
        <v>100</v>
      </c>
      <c r="G6" s="6">
        <f t="shared" si="0"/>
        <v>9.5</v>
      </c>
      <c r="H6" s="6">
        <f t="shared" si="1"/>
        <v>1</v>
      </c>
      <c r="I6" s="6">
        <f t="shared" si="2"/>
        <v>1.0741618870585434</v>
      </c>
      <c r="J6" s="6">
        <f t="shared" si="3"/>
        <v>1.2820706693439523</v>
      </c>
      <c r="K6" s="12">
        <f t="shared" ref="K6:L6" si="21">I6-1</f>
        <v>7.416188705854343E-2</v>
      </c>
      <c r="L6" s="12">
        <f t="shared" si="21"/>
        <v>0.28207066934395231</v>
      </c>
      <c r="M6" s="6">
        <f t="shared" si="5"/>
        <v>9.6372549019607856</v>
      </c>
      <c r="N6" s="6">
        <f t="shared" si="6"/>
        <v>0.96405228758169936</v>
      </c>
      <c r="O6" s="6">
        <f t="shared" ref="O6:P6" si="22">G6/M6</f>
        <v>0.98575788402848408</v>
      </c>
      <c r="P6" s="6">
        <f t="shared" si="22"/>
        <v>1.0372881355932204</v>
      </c>
      <c r="Q6" s="6" t="str">
        <f t="shared" si="8"/>
        <v>OK</v>
      </c>
      <c r="R6" s="6">
        <f>VLOOKUP(A6,Unit_Balance!$A:$N,10,FALSE)</f>
        <v>1</v>
      </c>
      <c r="S6" s="6">
        <f t="shared" si="9"/>
        <v>0.01</v>
      </c>
      <c r="T6" s="6">
        <f t="shared" si="10"/>
        <v>1.0958605664488018E-2</v>
      </c>
      <c r="U6" s="6">
        <f t="shared" si="11"/>
        <v>0.9125248508946322</v>
      </c>
      <c r="V6" s="6">
        <f>VLOOKUP(A6,Unit_Balance!$A:$N,11,FALSE)</f>
        <v>2.2000000000000002</v>
      </c>
      <c r="W6" s="6">
        <f t="shared" si="12"/>
        <v>2.2000000000000002E-2</v>
      </c>
      <c r="X6" s="6">
        <f t="shared" si="13"/>
        <v>2.4065359477124182E-2</v>
      </c>
      <c r="Y6" s="6">
        <f t="shared" si="14"/>
        <v>0.91417707767517664</v>
      </c>
    </row>
    <row r="7" spans="1:25" x14ac:dyDescent="0.2">
      <c r="A7" s="3" t="s">
        <v>92</v>
      </c>
      <c r="B7" s="3" t="s">
        <v>357</v>
      </c>
      <c r="C7" s="3" t="s">
        <v>153</v>
      </c>
      <c r="D7" s="6">
        <f>VLOOKUP(A7,Unit_Balance!$A$2:$N$13,12,FALSE)</f>
        <v>130</v>
      </c>
      <c r="E7" s="6">
        <f>VLOOKUP(A7,Unit_Balance!$A$2:$N$13,6,FALSE)</f>
        <v>1600</v>
      </c>
      <c r="F7" s="6">
        <f>VLOOKUP(A7,Unit_Balance!$A$2:$N$13,9,FALSE)</f>
        <v>60</v>
      </c>
      <c r="G7" s="6">
        <f t="shared" si="0"/>
        <v>12.307692307692308</v>
      </c>
      <c r="H7" s="6">
        <f t="shared" si="1"/>
        <v>0.46153846153846156</v>
      </c>
      <c r="I7" s="6">
        <f t="shared" si="2"/>
        <v>1.391626736270178</v>
      </c>
      <c r="J7" s="6">
        <f t="shared" si="3"/>
        <v>0.59172492431259349</v>
      </c>
      <c r="K7" s="12">
        <f t="shared" ref="K7:L7" si="23">I7-1</f>
        <v>0.39162673627017797</v>
      </c>
      <c r="L7" s="12">
        <f t="shared" si="23"/>
        <v>-0.40827507568740651</v>
      </c>
      <c r="M7" s="6">
        <f t="shared" si="5"/>
        <v>11.442246642246644</v>
      </c>
      <c r="N7" s="6">
        <f t="shared" si="6"/>
        <v>0.43003663003663001</v>
      </c>
      <c r="O7" s="6">
        <f t="shared" ref="O7:P7" si="24">G7/M7</f>
        <v>1.0756359911217346</v>
      </c>
      <c r="P7" s="6">
        <f t="shared" si="24"/>
        <v>1.0732538330494039</v>
      </c>
      <c r="Q7" s="6" t="str">
        <f t="shared" si="8"/>
        <v>OK</v>
      </c>
      <c r="R7" s="6">
        <f>VLOOKUP(A7,Unit_Balance!$A:$N,10,FALSE)</f>
        <v>1</v>
      </c>
      <c r="S7" s="6">
        <f t="shared" si="9"/>
        <v>7.6923076923076927E-3</v>
      </c>
      <c r="T7" s="6">
        <f t="shared" si="10"/>
        <v>7.1672771672771675E-3</v>
      </c>
      <c r="U7" s="6">
        <f t="shared" si="11"/>
        <v>1.0732538330494037</v>
      </c>
      <c r="V7" s="6">
        <f>VLOOKUP(A7,Unit_Balance!$A:$N,11,FALSE)</f>
        <v>1.6</v>
      </c>
      <c r="W7" s="6">
        <f t="shared" si="12"/>
        <v>1.2307692307692308E-2</v>
      </c>
      <c r="X7" s="6">
        <f t="shared" si="13"/>
        <v>9.6581196581196575E-3</v>
      </c>
      <c r="Y7" s="6">
        <f t="shared" si="14"/>
        <v>1.2743362831858407</v>
      </c>
    </row>
    <row r="8" spans="1:25" x14ac:dyDescent="0.2">
      <c r="A8" s="3" t="s">
        <v>97</v>
      </c>
      <c r="B8" s="3" t="s">
        <v>358</v>
      </c>
      <c r="C8" s="3" t="s">
        <v>168</v>
      </c>
      <c r="D8" s="6">
        <f>VLOOKUP(A8,Unit_Balance!$A$2:$N$13,12,FALSE)</f>
        <v>110</v>
      </c>
      <c r="E8" s="6">
        <f>VLOOKUP(A8,Unit_Balance!$A$2:$N$13,6,FALSE)</f>
        <v>800</v>
      </c>
      <c r="F8" s="6">
        <f>VLOOKUP(A8,Unit_Balance!$A$2:$N$13,9,FALSE)</f>
        <v>110</v>
      </c>
      <c r="G8" s="6">
        <f t="shared" si="0"/>
        <v>7.2727272727272725</v>
      </c>
      <c r="H8" s="6">
        <f t="shared" si="1"/>
        <v>1</v>
      </c>
      <c r="I8" s="6">
        <f t="shared" si="2"/>
        <v>0.82232488961419592</v>
      </c>
      <c r="J8" s="6">
        <f t="shared" si="3"/>
        <v>1.2820706693439523</v>
      </c>
      <c r="K8" s="12">
        <f t="shared" ref="K8:L8" si="25">I8-1</f>
        <v>-0.17767511038580408</v>
      </c>
      <c r="L8" s="12">
        <f t="shared" si="25"/>
        <v>0.28207066934395231</v>
      </c>
      <c r="M8" s="6">
        <f t="shared" si="5"/>
        <v>7.8979266347687398</v>
      </c>
      <c r="N8" s="6">
        <f t="shared" si="6"/>
        <v>1.0859649122807018</v>
      </c>
      <c r="O8" s="6">
        <f t="shared" ref="O8:P8" si="26">G8/M8</f>
        <v>0.92084006462035539</v>
      </c>
      <c r="P8" s="6">
        <f t="shared" si="26"/>
        <v>0.92084006462035539</v>
      </c>
      <c r="Q8" s="6" t="str">
        <f t="shared" si="8"/>
        <v>OK</v>
      </c>
      <c r="R8" s="6">
        <f>VLOOKUP(A8,Unit_Balance!$A:$N,10,FALSE)</f>
        <v>5.5</v>
      </c>
      <c r="S8" s="6">
        <f t="shared" si="9"/>
        <v>0.05</v>
      </c>
      <c r="T8" s="6">
        <f t="shared" si="10"/>
        <v>4.7543859649122805E-2</v>
      </c>
      <c r="U8" s="6">
        <f t="shared" si="11"/>
        <v>1.0516605166051662</v>
      </c>
      <c r="V8" s="6">
        <f>VLOOKUP(A8,Unit_Balance!$A:$N,11,FALSE)</f>
        <v>1.6</v>
      </c>
      <c r="W8" s="6">
        <f t="shared" si="12"/>
        <v>1.4545454545454545E-2</v>
      </c>
      <c r="X8" s="6">
        <f t="shared" si="13"/>
        <v>1.8901116427432221E-2</v>
      </c>
      <c r="Y8" s="6">
        <f t="shared" si="14"/>
        <v>0.7695553117880346</v>
      </c>
    </row>
    <row r="9" spans="1:25" x14ac:dyDescent="0.2">
      <c r="A9" s="3" t="s">
        <v>101</v>
      </c>
      <c r="B9" s="3" t="s">
        <v>374</v>
      </c>
      <c r="C9" s="3" t="s">
        <v>216</v>
      </c>
      <c r="D9" s="6">
        <f>VLOOKUP(A9,Unit_Balance!$A$2:$N$13,12,FALSE)</f>
        <v>120</v>
      </c>
      <c r="E9" s="6">
        <f>VLOOKUP(A9,Unit_Balance!$A$2:$N$13,6,FALSE)</f>
        <v>700</v>
      </c>
      <c r="F9" s="6">
        <f>VLOOKUP(A9,Unit_Balance!$A$2:$N$13,9,FALSE)</f>
        <v>70</v>
      </c>
      <c r="G9" s="6">
        <f t="shared" si="0"/>
        <v>5.833333333333333</v>
      </c>
      <c r="H9" s="6">
        <f t="shared" si="1"/>
        <v>0.58333333333333337</v>
      </c>
      <c r="I9" s="6">
        <f t="shared" si="2"/>
        <v>0.65957308854471963</v>
      </c>
      <c r="J9" s="6">
        <f t="shared" si="3"/>
        <v>0.74787455711730566</v>
      </c>
      <c r="K9" s="12">
        <f t="shared" ref="K9:L9" si="27">I9-1</f>
        <v>-0.34042691145528037</v>
      </c>
      <c r="L9" s="12">
        <f t="shared" si="27"/>
        <v>-0.25212544288269434</v>
      </c>
      <c r="M9" s="6">
        <f t="shared" si="5"/>
        <v>6.3989898989898988</v>
      </c>
      <c r="N9" s="6">
        <f t="shared" si="6"/>
        <v>0.63989898989898986</v>
      </c>
      <c r="O9" s="6">
        <f t="shared" ref="O9:P9" si="28">G9/M9</f>
        <v>0.91160220994475138</v>
      </c>
      <c r="P9" s="6">
        <f t="shared" si="28"/>
        <v>0.9116022099447515</v>
      </c>
      <c r="Q9" s="6" t="str">
        <f t="shared" si="8"/>
        <v>OK</v>
      </c>
      <c r="R9" s="6">
        <f>VLOOKUP(A9,Unit_Balance!$A:$N,10,FALSE)</f>
        <v>5</v>
      </c>
      <c r="S9" s="6">
        <f t="shared" si="9"/>
        <v>4.1666666666666664E-2</v>
      </c>
      <c r="T9" s="6">
        <f t="shared" si="10"/>
        <v>3.2373737373737374E-2</v>
      </c>
      <c r="U9" s="6">
        <f t="shared" si="11"/>
        <v>1.2870514820592822</v>
      </c>
      <c r="V9" s="6">
        <f>VLOOKUP(A9,Unit_Balance!$A:$N,11,FALSE)</f>
        <v>2</v>
      </c>
      <c r="W9" s="6">
        <f t="shared" si="12"/>
        <v>1.6666666666666666E-2</v>
      </c>
      <c r="X9" s="6">
        <f t="shared" si="13"/>
        <v>1.9070707070707071E-2</v>
      </c>
      <c r="Y9" s="6">
        <f t="shared" si="14"/>
        <v>0.87394067796610164</v>
      </c>
    </row>
    <row r="10" spans="1:25" x14ac:dyDescent="0.2">
      <c r="A10" s="3" t="s">
        <v>106</v>
      </c>
      <c r="B10" s="3" t="s">
        <v>375</v>
      </c>
      <c r="C10" s="3" t="s">
        <v>50</v>
      </c>
      <c r="D10" s="6">
        <f>VLOOKUP(A10,Unit_Balance!$A$2:$N$13,12,FALSE)</f>
        <v>90</v>
      </c>
      <c r="E10" s="6">
        <f>VLOOKUP(A10,Unit_Balance!$A$2:$N$13,6,FALSE)</f>
        <v>900</v>
      </c>
      <c r="F10" s="6">
        <f>VLOOKUP(A10,Unit_Balance!$A$2:$N$13,9,FALSE)</f>
        <v>75</v>
      </c>
      <c r="G10" s="6">
        <f t="shared" si="0"/>
        <v>10</v>
      </c>
      <c r="H10" s="6">
        <f t="shared" si="1"/>
        <v>0.83333333333333337</v>
      </c>
      <c r="I10" s="6">
        <f t="shared" si="2"/>
        <v>1.1306967232195195</v>
      </c>
      <c r="J10" s="6">
        <f t="shared" si="3"/>
        <v>1.0683922244532937</v>
      </c>
      <c r="K10" s="12">
        <f t="shared" ref="K10:L10" si="29">I10-1</f>
        <v>0.13069672321951953</v>
      </c>
      <c r="L10" s="12">
        <f t="shared" si="29"/>
        <v>6.8392224453293737E-2</v>
      </c>
      <c r="M10" s="6">
        <f t="shared" si="5"/>
        <v>9.6372549019607856</v>
      </c>
      <c r="N10" s="6">
        <f t="shared" si="6"/>
        <v>0.96405228758169936</v>
      </c>
      <c r="O10" s="6">
        <f t="shared" ref="O10:P10" si="30">G10/M10</f>
        <v>1.03763987792472</v>
      </c>
      <c r="P10" s="6">
        <f t="shared" si="30"/>
        <v>0.86440677966101698</v>
      </c>
      <c r="Q10" s="6" t="str">
        <f t="shared" si="8"/>
        <v>WATCH</v>
      </c>
      <c r="R10" s="6">
        <f>VLOOKUP(A10,Unit_Balance!$A:$N,10,FALSE)</f>
        <v>1</v>
      </c>
      <c r="S10" s="6">
        <f t="shared" si="9"/>
        <v>1.1111111111111112E-2</v>
      </c>
      <c r="T10" s="6">
        <f t="shared" si="10"/>
        <v>1.0958605664488018E-2</v>
      </c>
      <c r="U10" s="6">
        <f t="shared" si="11"/>
        <v>1.0139165009940359</v>
      </c>
      <c r="V10" s="6">
        <f>VLOOKUP(A10,Unit_Balance!$A:$N,11,FALSE)</f>
        <v>2.4</v>
      </c>
      <c r="W10" s="6">
        <f t="shared" si="12"/>
        <v>2.6666666666666665E-2</v>
      </c>
      <c r="X10" s="6">
        <f t="shared" si="13"/>
        <v>2.4065359477124182E-2</v>
      </c>
      <c r="Y10" s="6">
        <f t="shared" si="14"/>
        <v>1.1080934274850625</v>
      </c>
    </row>
    <row r="11" spans="1:25" x14ac:dyDescent="0.2">
      <c r="A11" s="3" t="s">
        <v>116</v>
      </c>
      <c r="B11" s="3" t="s">
        <v>384</v>
      </c>
      <c r="C11" s="3" t="s">
        <v>153</v>
      </c>
      <c r="D11" s="6">
        <f>VLOOKUP(A11,Unit_Balance!$A$2:$N$13,12,FALSE)</f>
        <v>150</v>
      </c>
      <c r="E11" s="6">
        <f>VLOOKUP(A11,Unit_Balance!$A$2:$N$13,6,FALSE)</f>
        <v>1760.0000000000002</v>
      </c>
      <c r="F11" s="6">
        <f>VLOOKUP(A11,Unit_Balance!$A$2:$N$13,9,FALSE)</f>
        <v>60</v>
      </c>
      <c r="G11" s="6">
        <f t="shared" si="0"/>
        <v>11.733333333333334</v>
      </c>
      <c r="H11" s="6">
        <f t="shared" si="1"/>
        <v>0.4</v>
      </c>
      <c r="I11" s="6">
        <f t="shared" si="2"/>
        <v>1.3266841552442363</v>
      </c>
      <c r="J11" s="6">
        <f t="shared" si="3"/>
        <v>0.51282826773758095</v>
      </c>
      <c r="K11" s="12">
        <f t="shared" ref="K11:L11" si="31">I11-1</f>
        <v>0.32668415524423633</v>
      </c>
      <c r="L11" s="12">
        <f t="shared" si="31"/>
        <v>-0.48717173226241905</v>
      </c>
      <c r="M11" s="6">
        <f t="shared" si="5"/>
        <v>11.442246642246644</v>
      </c>
      <c r="N11" s="6">
        <f t="shared" si="6"/>
        <v>0.43003663003663001</v>
      </c>
      <c r="O11" s="6">
        <f t="shared" ref="O11:P11" si="32">G11/M11</f>
        <v>1.025439644869387</v>
      </c>
      <c r="P11" s="6">
        <f t="shared" si="32"/>
        <v>0.93015332197615008</v>
      </c>
      <c r="Q11" s="6" t="str">
        <f t="shared" si="8"/>
        <v>OK</v>
      </c>
      <c r="R11" s="6">
        <f>VLOOKUP(A11,Unit_Balance!$A:$N,10,FALSE)</f>
        <v>1</v>
      </c>
      <c r="S11" s="6">
        <f t="shared" si="9"/>
        <v>6.6666666666666671E-3</v>
      </c>
      <c r="T11" s="6">
        <f t="shared" si="10"/>
        <v>7.1672771672771675E-3</v>
      </c>
      <c r="U11" s="6">
        <f t="shared" si="11"/>
        <v>0.93015332197614997</v>
      </c>
      <c r="V11" s="6">
        <f>VLOOKUP(A11,Unit_Balance!$A:$N,11,FALSE)</f>
        <v>1</v>
      </c>
      <c r="W11" s="6">
        <f t="shared" si="12"/>
        <v>6.6666666666666671E-3</v>
      </c>
      <c r="X11" s="6">
        <f t="shared" si="13"/>
        <v>9.6581196581196575E-3</v>
      </c>
      <c r="Y11" s="6">
        <f t="shared" si="14"/>
        <v>0.69026548672566379</v>
      </c>
    </row>
    <row r="12" spans="1:25" x14ac:dyDescent="0.2">
      <c r="A12" s="3" t="s">
        <v>127</v>
      </c>
      <c r="B12" s="3" t="s">
        <v>400</v>
      </c>
      <c r="C12" s="3" t="s">
        <v>168</v>
      </c>
      <c r="D12" s="6">
        <f>VLOOKUP(A12,Unit_Balance!$A$2:$N$13,12,FALSE)</f>
        <v>100</v>
      </c>
      <c r="E12" s="6">
        <f>VLOOKUP(A12,Unit_Balance!$A$2:$N$13,6,FALSE)</f>
        <v>800</v>
      </c>
      <c r="F12" s="6">
        <f>VLOOKUP(A12,Unit_Balance!$A$2:$N$13,9,FALSE)</f>
        <v>110</v>
      </c>
      <c r="G12" s="6">
        <f t="shared" si="0"/>
        <v>8</v>
      </c>
      <c r="H12" s="6">
        <f t="shared" si="1"/>
        <v>1.1000000000000001</v>
      </c>
      <c r="I12" s="6">
        <f t="shared" si="2"/>
        <v>0.90455737857561558</v>
      </c>
      <c r="J12" s="6">
        <f t="shared" si="3"/>
        <v>1.4102777362783478</v>
      </c>
      <c r="K12" s="12">
        <f t="shared" ref="K12:L12" si="33">I12-1</f>
        <v>-9.5442621424384422E-2</v>
      </c>
      <c r="L12" s="12">
        <f t="shared" si="33"/>
        <v>0.41027773627834785</v>
      </c>
      <c r="M12" s="6">
        <f t="shared" si="5"/>
        <v>7.8979266347687398</v>
      </c>
      <c r="N12" s="6">
        <f t="shared" si="6"/>
        <v>1.0859649122807018</v>
      </c>
      <c r="O12" s="6">
        <f t="shared" ref="O12:P12" si="34">G12/M12</f>
        <v>1.012924071082391</v>
      </c>
      <c r="P12" s="6">
        <f t="shared" si="34"/>
        <v>1.012924071082391</v>
      </c>
      <c r="Q12" s="6" t="str">
        <f t="shared" si="8"/>
        <v>OK</v>
      </c>
      <c r="R12" s="6">
        <f>VLOOKUP(A12,Unit_Balance!$A:$N,10,FALSE)</f>
        <v>4</v>
      </c>
      <c r="S12" s="6">
        <f t="shared" si="9"/>
        <v>0.04</v>
      </c>
      <c r="T12" s="6">
        <f t="shared" si="10"/>
        <v>4.7543859649122805E-2</v>
      </c>
      <c r="U12" s="6">
        <f t="shared" si="11"/>
        <v>0.84132841328413288</v>
      </c>
      <c r="V12" s="6">
        <f>VLOOKUP(A12,Unit_Balance!$A:$N,11,FALSE)</f>
        <v>1.9</v>
      </c>
      <c r="W12" s="6">
        <f t="shared" si="12"/>
        <v>1.9E-2</v>
      </c>
      <c r="X12" s="6">
        <f t="shared" si="13"/>
        <v>1.8901116427432221E-2</v>
      </c>
      <c r="Y12" s="6">
        <f t="shared" si="14"/>
        <v>1.0052316260231202</v>
      </c>
    </row>
    <row r="13" spans="1:25" x14ac:dyDescent="0.2">
      <c r="A13" s="3" t="s">
        <v>138</v>
      </c>
      <c r="B13" s="3" t="s">
        <v>421</v>
      </c>
      <c r="C13" s="3" t="s">
        <v>216</v>
      </c>
      <c r="D13" s="6">
        <f>VLOOKUP(A13,Unit_Balance!$A$2:$N$13,12,FALSE)</f>
        <v>100</v>
      </c>
      <c r="E13" s="6">
        <f>VLOOKUP(A13,Unit_Balance!$A$2:$N$13,6,FALSE)</f>
        <v>700</v>
      </c>
      <c r="F13" s="6">
        <f>VLOOKUP(A13,Unit_Balance!$A$2:$N$13,9,FALSE)</f>
        <v>70</v>
      </c>
      <c r="G13" s="6">
        <f t="shared" si="0"/>
        <v>7</v>
      </c>
      <c r="H13" s="6">
        <f t="shared" si="1"/>
        <v>0.7</v>
      </c>
      <c r="I13" s="6">
        <f t="shared" si="2"/>
        <v>0.7914877062536636</v>
      </c>
      <c r="J13" s="6">
        <f t="shared" si="3"/>
        <v>0.89744946854076657</v>
      </c>
      <c r="K13" s="12">
        <f t="shared" ref="K13:L13" si="35">I13-1</f>
        <v>-0.2085122937463364</v>
      </c>
      <c r="L13" s="12">
        <f t="shared" si="35"/>
        <v>-0.10255053145923343</v>
      </c>
      <c r="M13" s="6">
        <f t="shared" si="5"/>
        <v>6.3989898989898988</v>
      </c>
      <c r="N13" s="6">
        <f t="shared" si="6"/>
        <v>0.63989898989898986</v>
      </c>
      <c r="O13" s="6">
        <f t="shared" ref="O13:P13" si="36">G13/M13</f>
        <v>1.0939226519337018</v>
      </c>
      <c r="P13" s="6">
        <f t="shared" si="36"/>
        <v>1.0939226519337018</v>
      </c>
      <c r="Q13" s="6" t="str">
        <f t="shared" si="8"/>
        <v>OK</v>
      </c>
      <c r="R13" s="6">
        <f>VLOOKUP(A13,Unit_Balance!$A:$N,10,FALSE)</f>
        <v>1</v>
      </c>
      <c r="S13" s="6">
        <f t="shared" si="9"/>
        <v>0.01</v>
      </c>
      <c r="T13" s="6">
        <f t="shared" si="10"/>
        <v>3.2373737373737374E-2</v>
      </c>
      <c r="U13" s="6">
        <f t="shared" si="11"/>
        <v>0.30889235569422779</v>
      </c>
      <c r="V13" s="6">
        <f>VLOOKUP(A13,Unit_Balance!$A:$N,11,FALSE)</f>
        <v>2.6</v>
      </c>
      <c r="W13" s="6">
        <f t="shared" si="12"/>
        <v>2.6000000000000002E-2</v>
      </c>
      <c r="X13" s="6">
        <f t="shared" si="13"/>
        <v>1.9070707070707071E-2</v>
      </c>
      <c r="Y13" s="6">
        <f t="shared" si="14"/>
        <v>1.3633474576271187</v>
      </c>
    </row>
  </sheetData>
  <conditionalFormatting sqref="Q2:Q13">
    <cfRule type="containsText" dxfId="1" priority="1" operator="containsText" text="CHECK">
      <formula>NOT(ISERROR(SEARCH(("CHECK"),(Q2))))</formula>
    </cfRule>
  </conditionalFormatting>
  <conditionalFormatting sqref="Q2:Q13">
    <cfRule type="containsText" dxfId="0" priority="2" operator="containsText" text="OK">
      <formula>NOT(ISERROR(SEARCH(("OK"),(Q2))))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4"/>
  <sheetViews>
    <sheetView workbookViewId="0"/>
  </sheetViews>
  <sheetFormatPr defaultColWidth="12.5703125" defaultRowHeight="15.75" customHeight="1" x14ac:dyDescent="0.2"/>
  <cols>
    <col min="4" max="4" width="18.140625" customWidth="1"/>
    <col min="7" max="7" width="15" customWidth="1"/>
    <col min="8" max="8" width="46.42578125" customWidth="1"/>
  </cols>
  <sheetData>
    <row r="1" spans="1:8" x14ac:dyDescent="0.2">
      <c r="A1" s="3" t="s">
        <v>376</v>
      </c>
      <c r="B1" s="3" t="s">
        <v>0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</row>
    <row r="2" spans="1:8" x14ac:dyDescent="0.2">
      <c r="A2" s="3" t="s">
        <v>383</v>
      </c>
      <c r="B2" s="3" t="s">
        <v>106</v>
      </c>
      <c r="C2" s="3" t="s">
        <v>114</v>
      </c>
      <c r="D2" s="5" t="s">
        <v>385</v>
      </c>
      <c r="E2" s="3">
        <v>75</v>
      </c>
      <c r="F2" s="3">
        <v>112.5</v>
      </c>
      <c r="G2" s="12">
        <f t="shared" ref="G2:G14" si="0">(F2-E2)/E2</f>
        <v>0.5</v>
      </c>
      <c r="H2" s="5" t="s">
        <v>386</v>
      </c>
    </row>
    <row r="3" spans="1:8" x14ac:dyDescent="0.2">
      <c r="A3" s="3" t="s">
        <v>387</v>
      </c>
      <c r="B3" s="3" t="s">
        <v>106</v>
      </c>
      <c r="C3" s="3" t="s">
        <v>114</v>
      </c>
      <c r="D3" s="5" t="s">
        <v>388</v>
      </c>
      <c r="E3" s="3">
        <v>300</v>
      </c>
      <c r="F3" s="3">
        <v>450</v>
      </c>
      <c r="G3" s="12">
        <f t="shared" si="0"/>
        <v>0.5</v>
      </c>
      <c r="H3" s="5" t="s">
        <v>389</v>
      </c>
    </row>
    <row r="4" spans="1:8" x14ac:dyDescent="0.2">
      <c r="A4" s="3" t="s">
        <v>390</v>
      </c>
      <c r="B4" s="3" t="s">
        <v>116</v>
      </c>
      <c r="C4" s="3" t="s">
        <v>126</v>
      </c>
      <c r="D4" s="5" t="s">
        <v>391</v>
      </c>
      <c r="E4" s="3">
        <v>1760</v>
      </c>
      <c r="F4" s="6">
        <f>E4/(1-40%)</f>
        <v>2933.3333333333335</v>
      </c>
      <c r="G4" s="12">
        <f t="shared" si="0"/>
        <v>0.66666666666666674</v>
      </c>
      <c r="H4" s="5" t="s">
        <v>392</v>
      </c>
    </row>
    <row r="5" spans="1:8" x14ac:dyDescent="0.2">
      <c r="A5" s="3" t="s">
        <v>393</v>
      </c>
      <c r="B5" s="3" t="s">
        <v>97</v>
      </c>
      <c r="C5" s="3" t="s">
        <v>100</v>
      </c>
      <c r="D5" s="3" t="s">
        <v>394</v>
      </c>
      <c r="E5" s="3">
        <v>132</v>
      </c>
      <c r="F5" s="6">
        <f>E5*2.5</f>
        <v>330</v>
      </c>
      <c r="G5" s="12">
        <f t="shared" si="0"/>
        <v>1.5</v>
      </c>
      <c r="H5" s="5" t="s">
        <v>395</v>
      </c>
    </row>
    <row r="6" spans="1:8" x14ac:dyDescent="0.2">
      <c r="A6" s="3" t="s">
        <v>396</v>
      </c>
      <c r="B6" s="3" t="s">
        <v>127</v>
      </c>
      <c r="C6" s="3" t="s">
        <v>136</v>
      </c>
      <c r="D6" s="3" t="s">
        <v>228</v>
      </c>
      <c r="E6" s="7">
        <v>132</v>
      </c>
      <c r="F6" s="13">
        <f>E6*0.45</f>
        <v>59.4</v>
      </c>
      <c r="G6" s="12">
        <f t="shared" si="0"/>
        <v>-0.54999999999999993</v>
      </c>
      <c r="H6" s="5" t="s">
        <v>397</v>
      </c>
    </row>
    <row r="7" spans="1:8" x14ac:dyDescent="0.2">
      <c r="A7" s="3" t="s">
        <v>398</v>
      </c>
      <c r="B7" s="3" t="s">
        <v>127</v>
      </c>
      <c r="C7" s="3" t="s">
        <v>136</v>
      </c>
      <c r="D7" s="3" t="s">
        <v>399</v>
      </c>
      <c r="E7" s="7">
        <v>132</v>
      </c>
      <c r="F7" s="13">
        <f>E7*0.45*5</f>
        <v>297</v>
      </c>
      <c r="G7" s="12">
        <f t="shared" si="0"/>
        <v>1.25</v>
      </c>
      <c r="H7" s="5" t="s">
        <v>401</v>
      </c>
    </row>
    <row r="8" spans="1:8" x14ac:dyDescent="0.2">
      <c r="A8" s="3" t="s">
        <v>402</v>
      </c>
      <c r="B8" s="3" t="s">
        <v>7</v>
      </c>
      <c r="C8" s="3" t="s">
        <v>55</v>
      </c>
      <c r="D8" s="3" t="s">
        <v>403</v>
      </c>
      <c r="E8" s="7">
        <v>800</v>
      </c>
      <c r="F8" s="13">
        <f>E8*35%</f>
        <v>280</v>
      </c>
      <c r="G8" s="12">
        <f t="shared" si="0"/>
        <v>-0.65</v>
      </c>
      <c r="H8" s="5" t="s">
        <v>404</v>
      </c>
    </row>
    <row r="9" spans="1:8" x14ac:dyDescent="0.2">
      <c r="A9" s="3" t="s">
        <v>405</v>
      </c>
      <c r="B9" s="3" t="s">
        <v>7</v>
      </c>
      <c r="C9" s="3" t="s">
        <v>55</v>
      </c>
      <c r="D9" s="3" t="s">
        <v>406</v>
      </c>
      <c r="E9" s="7">
        <v>800</v>
      </c>
      <c r="F9" s="13">
        <f>E9*(1+35%)</f>
        <v>1080</v>
      </c>
      <c r="G9" s="12">
        <f t="shared" si="0"/>
        <v>0.35</v>
      </c>
      <c r="H9" s="5" t="s">
        <v>407</v>
      </c>
    </row>
    <row r="10" spans="1:8" x14ac:dyDescent="0.2">
      <c r="A10" s="3" t="s">
        <v>408</v>
      </c>
      <c r="B10" s="3" t="s">
        <v>56</v>
      </c>
      <c r="C10" s="3" t="s">
        <v>59</v>
      </c>
      <c r="D10" s="3" t="s">
        <v>172</v>
      </c>
      <c r="E10" s="7">
        <v>1440</v>
      </c>
      <c r="F10" s="13">
        <f>E10*3%</f>
        <v>43.199999999999996</v>
      </c>
      <c r="G10" s="12">
        <f t="shared" si="0"/>
        <v>-0.97</v>
      </c>
      <c r="H10" s="3" t="s">
        <v>409</v>
      </c>
    </row>
    <row r="11" spans="1:8" x14ac:dyDescent="0.2">
      <c r="A11" s="3" t="s">
        <v>410</v>
      </c>
      <c r="B11" s="3" t="s">
        <v>56</v>
      </c>
      <c r="C11" s="3" t="s">
        <v>59</v>
      </c>
      <c r="D11" s="3" t="s">
        <v>177</v>
      </c>
      <c r="E11" s="7">
        <v>1440</v>
      </c>
      <c r="F11" s="13">
        <f>E11*6%</f>
        <v>86.399999999999991</v>
      </c>
      <c r="G11" s="12">
        <f t="shared" si="0"/>
        <v>-0.94</v>
      </c>
      <c r="H11" s="3" t="s">
        <v>411</v>
      </c>
    </row>
    <row r="12" spans="1:8" x14ac:dyDescent="0.2">
      <c r="A12" s="3" t="s">
        <v>412</v>
      </c>
      <c r="B12" s="3" t="s">
        <v>60</v>
      </c>
      <c r="C12" s="3" t="s">
        <v>66</v>
      </c>
      <c r="D12" s="3" t="s">
        <v>413</v>
      </c>
      <c r="E12" s="7">
        <v>100</v>
      </c>
      <c r="F12" s="13">
        <f>E12*(1-15%)</f>
        <v>85</v>
      </c>
      <c r="G12" s="12">
        <f t="shared" si="0"/>
        <v>-0.15</v>
      </c>
      <c r="H12" s="3" t="s">
        <v>414</v>
      </c>
    </row>
    <row r="13" spans="1:8" x14ac:dyDescent="0.2">
      <c r="A13" s="3" t="s">
        <v>415</v>
      </c>
      <c r="B13" s="3" t="s">
        <v>67</v>
      </c>
      <c r="C13" s="3" t="s">
        <v>82</v>
      </c>
      <c r="D13" s="3" t="s">
        <v>416</v>
      </c>
      <c r="E13" s="7">
        <v>100</v>
      </c>
      <c r="F13" s="13">
        <f>E13*(1-20%)</f>
        <v>80</v>
      </c>
      <c r="G13" s="12">
        <f t="shared" si="0"/>
        <v>-0.2</v>
      </c>
      <c r="H13" s="3" t="s">
        <v>417</v>
      </c>
    </row>
    <row r="14" spans="1:8" x14ac:dyDescent="0.2">
      <c r="A14" s="3" t="s">
        <v>418</v>
      </c>
      <c r="B14" s="3" t="s">
        <v>262</v>
      </c>
      <c r="C14" s="3" t="s">
        <v>419</v>
      </c>
      <c r="D14" s="3" t="s">
        <v>420</v>
      </c>
      <c r="E14" s="7">
        <v>100</v>
      </c>
      <c r="F14" s="13">
        <f>E14*(1-15%)*(1-20%)</f>
        <v>68</v>
      </c>
      <c r="G14" s="12">
        <f t="shared" si="0"/>
        <v>-0.32</v>
      </c>
      <c r="H14" s="3" t="s">
        <v>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4"/>
  <sheetViews>
    <sheetView workbookViewId="0"/>
  </sheetViews>
  <sheetFormatPr defaultColWidth="12.5703125" defaultRowHeight="15.75" customHeight="1" x14ac:dyDescent="0.2"/>
  <cols>
    <col min="4" max="4" width="31.5703125" customWidth="1"/>
    <col min="7" max="7" width="15.7109375" customWidth="1"/>
    <col min="10" max="10" width="34.28515625" customWidth="1"/>
    <col min="11" max="11" width="14.28515625" customWidth="1"/>
    <col min="13" max="13" width="36" customWidth="1"/>
    <col min="14" max="14" width="22.42578125" customWidth="1"/>
    <col min="15" max="15" width="37.7109375" customWidth="1"/>
    <col min="16" max="16" width="20.42578125" customWidth="1"/>
    <col min="17" max="17" width="16.85546875" customWidth="1"/>
  </cols>
  <sheetData>
    <row r="1" spans="1:17" x14ac:dyDescent="0.2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382</v>
      </c>
      <c r="K1" s="1" t="s">
        <v>432</v>
      </c>
      <c r="L1" s="1" t="s">
        <v>65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</row>
    <row r="2" spans="1:17" x14ac:dyDescent="0.2">
      <c r="A2" s="3" t="s">
        <v>438</v>
      </c>
      <c r="B2" s="3" t="s">
        <v>106</v>
      </c>
      <c r="C2" s="3" t="s">
        <v>7</v>
      </c>
      <c r="D2" s="3" t="s">
        <v>439</v>
      </c>
      <c r="E2" s="3">
        <f>Unit_Balance!I10</f>
        <v>75</v>
      </c>
      <c r="F2" s="3">
        <f>Unit_Balance!F2</f>
        <v>800</v>
      </c>
      <c r="G2" s="3">
        <v>1</v>
      </c>
      <c r="H2" s="3">
        <f t="shared" ref="H2:H10" si="0">E2*G2</f>
        <v>75</v>
      </c>
      <c r="I2" s="3">
        <f t="shared" ref="I2:I3" si="1">F2/H2</f>
        <v>10.666666666666666</v>
      </c>
      <c r="J2" s="5" t="s">
        <v>440</v>
      </c>
      <c r="K2" s="3">
        <f>I2</f>
        <v>10.666666666666666</v>
      </c>
      <c r="L2" s="3" t="s">
        <v>83</v>
      </c>
      <c r="M2" s="5" t="s">
        <v>441</v>
      </c>
      <c r="N2" s="3" t="s">
        <v>434</v>
      </c>
      <c r="O2" s="3" t="s">
        <v>435</v>
      </c>
      <c r="P2" s="3" t="s">
        <v>436</v>
      </c>
      <c r="Q2" s="3" t="s">
        <v>437</v>
      </c>
    </row>
    <row r="3" spans="1:17" x14ac:dyDescent="0.2">
      <c r="A3" s="3" t="s">
        <v>442</v>
      </c>
      <c r="B3" s="3" t="s">
        <v>106</v>
      </c>
      <c r="C3" s="3" t="s">
        <v>7</v>
      </c>
      <c r="D3" s="3" t="s">
        <v>443</v>
      </c>
      <c r="E3" s="3">
        <f>Unit_Balance!I10</f>
        <v>75</v>
      </c>
      <c r="F3" s="3">
        <v>800</v>
      </c>
      <c r="G3" s="3">
        <f>1+Ability_Balance!F35/100</f>
        <v>1.5</v>
      </c>
      <c r="H3" s="3">
        <f t="shared" si="0"/>
        <v>112.5</v>
      </c>
      <c r="I3" s="3">
        <f t="shared" si="1"/>
        <v>7.1111111111111107</v>
      </c>
      <c r="J3" s="5" t="s">
        <v>444</v>
      </c>
      <c r="K3" s="3">
        <f>4+(F3-H3*4)/E3</f>
        <v>8.6666666666666679</v>
      </c>
      <c r="L3" s="3" t="s">
        <v>83</v>
      </c>
      <c r="M3" s="5" t="s">
        <v>445</v>
      </c>
      <c r="N3" s="5" t="s">
        <v>446</v>
      </c>
      <c r="O3" s="5" t="s">
        <v>447</v>
      </c>
      <c r="P3" s="5" t="s">
        <v>448</v>
      </c>
      <c r="Q3" s="5" t="s">
        <v>449</v>
      </c>
    </row>
    <row r="4" spans="1:17" x14ac:dyDescent="0.2">
      <c r="A4" s="3" t="s">
        <v>450</v>
      </c>
      <c r="B4" s="3" t="s">
        <v>97</v>
      </c>
      <c r="C4" s="3" t="s">
        <v>116</v>
      </c>
      <c r="D4" s="3" t="s">
        <v>451</v>
      </c>
      <c r="E4" s="3">
        <f>Unit_Balance!G8</f>
        <v>132</v>
      </c>
      <c r="F4" s="3">
        <f>Unit_Balance!F11</f>
        <v>1760.0000000000002</v>
      </c>
      <c r="G4" s="3">
        <v>2.5</v>
      </c>
      <c r="H4" s="3">
        <f t="shared" si="0"/>
        <v>330</v>
      </c>
      <c r="I4" s="3">
        <f>F4/(E4*G4)</f>
        <v>5.3333333333333339</v>
      </c>
      <c r="J4" s="5" t="s">
        <v>452</v>
      </c>
      <c r="K4" s="3">
        <f>E4*G4*(1-40/100)</f>
        <v>198</v>
      </c>
      <c r="L4" s="3" t="s">
        <v>453</v>
      </c>
      <c r="M4" s="5" t="s">
        <v>454</v>
      </c>
      <c r="N4" s="5" t="s">
        <v>455</v>
      </c>
      <c r="O4" s="5" t="s">
        <v>456</v>
      </c>
      <c r="P4" s="5" t="s">
        <v>457</v>
      </c>
      <c r="Q4" s="5" t="s">
        <v>449</v>
      </c>
    </row>
    <row r="5" spans="1:17" x14ac:dyDescent="0.2">
      <c r="A5" s="3" t="s">
        <v>458</v>
      </c>
      <c r="B5" s="3" t="s">
        <v>127</v>
      </c>
      <c r="C5" s="3" t="s">
        <v>97</v>
      </c>
      <c r="D5" s="3" t="s">
        <v>459</v>
      </c>
      <c r="E5" s="3">
        <f>Unit_Balance!G12</f>
        <v>132</v>
      </c>
      <c r="F5" s="3">
        <v>800</v>
      </c>
      <c r="G5" s="3">
        <f>0.45*5</f>
        <v>2.25</v>
      </c>
      <c r="H5" s="3">
        <f t="shared" si="0"/>
        <v>297</v>
      </c>
      <c r="I5" s="3">
        <f>ROUNDUP(F5/H5,0)</f>
        <v>3</v>
      </c>
      <c r="J5" s="5" t="s">
        <v>471</v>
      </c>
      <c r="K5" s="3">
        <f t="shared" ref="K5:K11" si="2">H5</f>
        <v>297</v>
      </c>
      <c r="L5" s="3" t="s">
        <v>453</v>
      </c>
      <c r="M5" s="5" t="s">
        <v>477</v>
      </c>
      <c r="N5" s="5" t="s">
        <v>479</v>
      </c>
      <c r="O5" s="5" t="s">
        <v>481</v>
      </c>
      <c r="P5" s="5" t="s">
        <v>483</v>
      </c>
      <c r="Q5" s="5" t="s">
        <v>449</v>
      </c>
    </row>
    <row r="6" spans="1:17" x14ac:dyDescent="0.2">
      <c r="A6" s="3" t="s">
        <v>267</v>
      </c>
      <c r="B6" s="3" t="s">
        <v>262</v>
      </c>
      <c r="C6" s="3" t="s">
        <v>106</v>
      </c>
      <c r="D6" s="3" t="s">
        <v>486</v>
      </c>
      <c r="E6" s="3">
        <f>Unit_Balance!I10*(1+Ability_Balance!F35/100)</f>
        <v>112.5</v>
      </c>
      <c r="F6" s="3">
        <v>800</v>
      </c>
      <c r="G6" s="3">
        <f>(1-15/100)*(1-20/100)</f>
        <v>0.68</v>
      </c>
      <c r="H6" s="3">
        <f t="shared" si="0"/>
        <v>76.5</v>
      </c>
      <c r="I6" s="3">
        <f>F6/H6</f>
        <v>10.457516339869281</v>
      </c>
      <c r="J6" s="5" t="s">
        <v>508</v>
      </c>
      <c r="K6" s="3">
        <f t="shared" si="2"/>
        <v>76.5</v>
      </c>
      <c r="L6" s="3" t="s">
        <v>25</v>
      </c>
      <c r="M6" s="5" t="s">
        <v>511</v>
      </c>
      <c r="N6" s="5" t="s">
        <v>512</v>
      </c>
      <c r="O6" s="5" t="s">
        <v>514</v>
      </c>
      <c r="P6" s="5" t="s">
        <v>516</v>
      </c>
      <c r="Q6" s="5" t="s">
        <v>449</v>
      </c>
    </row>
    <row r="7" spans="1:17" x14ac:dyDescent="0.2">
      <c r="A7" s="3" t="s">
        <v>518</v>
      </c>
      <c r="B7" s="3" t="s">
        <v>7</v>
      </c>
      <c r="C7" s="3" t="s">
        <v>7</v>
      </c>
      <c r="D7" s="3" t="s">
        <v>519</v>
      </c>
      <c r="E7" s="3">
        <v>800</v>
      </c>
      <c r="F7" s="3">
        <v>800</v>
      </c>
      <c r="G7" s="3">
        <v>1.35</v>
      </c>
      <c r="H7" s="6">
        <f t="shared" si="0"/>
        <v>1080</v>
      </c>
      <c r="J7" s="5" t="s">
        <v>407</v>
      </c>
      <c r="K7" s="6">
        <f t="shared" si="2"/>
        <v>1080</v>
      </c>
      <c r="L7" s="3" t="s">
        <v>13</v>
      </c>
      <c r="M7" s="5" t="s">
        <v>526</v>
      </c>
      <c r="N7" s="5" t="s">
        <v>527</v>
      </c>
      <c r="O7" s="5" t="s">
        <v>529</v>
      </c>
      <c r="P7" s="5" t="s">
        <v>531</v>
      </c>
      <c r="Q7" s="5" t="s">
        <v>260</v>
      </c>
    </row>
    <row r="8" spans="1:17" x14ac:dyDescent="0.2">
      <c r="A8" s="3" t="s">
        <v>533</v>
      </c>
      <c r="B8" s="3" t="s">
        <v>56</v>
      </c>
      <c r="C8" s="3" t="s">
        <v>56</v>
      </c>
      <c r="D8" s="3" t="s">
        <v>534</v>
      </c>
      <c r="E8" s="3">
        <v>1440</v>
      </c>
      <c r="F8" s="3">
        <v>1440</v>
      </c>
      <c r="G8" s="3">
        <v>0.03</v>
      </c>
      <c r="H8" s="6">
        <f t="shared" si="0"/>
        <v>43.199999999999996</v>
      </c>
      <c r="J8" s="5" t="s">
        <v>409</v>
      </c>
      <c r="K8" s="6">
        <f t="shared" si="2"/>
        <v>43.199999999999996</v>
      </c>
      <c r="L8" s="3" t="s">
        <v>13</v>
      </c>
      <c r="M8" s="5" t="s">
        <v>540</v>
      </c>
      <c r="N8" s="5" t="s">
        <v>542</v>
      </c>
      <c r="O8" s="5" t="s">
        <v>543</v>
      </c>
      <c r="P8" s="5" t="s">
        <v>544</v>
      </c>
      <c r="Q8" s="5" t="s">
        <v>449</v>
      </c>
    </row>
    <row r="9" spans="1:17" x14ac:dyDescent="0.2">
      <c r="A9" s="3" t="s">
        <v>546</v>
      </c>
      <c r="B9" s="3" t="s">
        <v>56</v>
      </c>
      <c r="C9" s="3" t="s">
        <v>56</v>
      </c>
      <c r="D9" s="3" t="s">
        <v>550</v>
      </c>
      <c r="E9" s="3">
        <v>1440</v>
      </c>
      <c r="F9" s="3">
        <v>1440</v>
      </c>
      <c r="G9" s="3">
        <v>0.06</v>
      </c>
      <c r="H9" s="6">
        <f t="shared" si="0"/>
        <v>86.399999999999991</v>
      </c>
      <c r="J9" s="5" t="s">
        <v>555</v>
      </c>
      <c r="K9" s="6">
        <f t="shared" si="2"/>
        <v>86.399999999999991</v>
      </c>
      <c r="L9" s="3" t="s">
        <v>560</v>
      </c>
      <c r="M9" s="5" t="s">
        <v>562</v>
      </c>
      <c r="N9" s="5" t="s">
        <v>563</v>
      </c>
      <c r="O9" s="5" t="s">
        <v>564</v>
      </c>
      <c r="P9" s="5" t="s">
        <v>565</v>
      </c>
      <c r="Q9" s="5" t="s">
        <v>289</v>
      </c>
    </row>
    <row r="10" spans="1:17" x14ac:dyDescent="0.2">
      <c r="A10" s="3" t="s">
        <v>311</v>
      </c>
      <c r="B10" s="3" t="s">
        <v>106</v>
      </c>
      <c r="C10" s="3" t="s">
        <v>67</v>
      </c>
      <c r="D10" s="3" t="s">
        <v>570</v>
      </c>
      <c r="E10" s="3">
        <v>75</v>
      </c>
      <c r="F10" s="3">
        <v>800</v>
      </c>
      <c r="G10" s="6">
        <f>1.5*(1-20/100)</f>
        <v>1.2000000000000002</v>
      </c>
      <c r="H10" s="6">
        <f t="shared" si="0"/>
        <v>90.000000000000014</v>
      </c>
      <c r="I10" s="6">
        <f>F10/H10</f>
        <v>8.8888888888888875</v>
      </c>
      <c r="J10" s="5" t="s">
        <v>584</v>
      </c>
      <c r="K10" s="6">
        <f t="shared" si="2"/>
        <v>90.000000000000014</v>
      </c>
      <c r="L10" s="3" t="s">
        <v>25</v>
      </c>
      <c r="M10" s="5" t="s">
        <v>586</v>
      </c>
      <c r="N10" s="5" t="s">
        <v>588</v>
      </c>
      <c r="O10" s="5" t="s">
        <v>589</v>
      </c>
      <c r="P10" s="5" t="s">
        <v>591</v>
      </c>
      <c r="Q10" s="5" t="s">
        <v>289</v>
      </c>
    </row>
    <row r="11" spans="1:17" x14ac:dyDescent="0.2">
      <c r="A11" s="3" t="s">
        <v>592</v>
      </c>
      <c r="B11" s="3" t="s">
        <v>138</v>
      </c>
      <c r="C11" s="3" t="s">
        <v>97</v>
      </c>
      <c r="D11" s="3" t="s">
        <v>594</v>
      </c>
      <c r="E11" s="3">
        <v>1.5</v>
      </c>
      <c r="F11" s="3">
        <v>2</v>
      </c>
      <c r="G11" s="6">
        <f>E11/F11</f>
        <v>0.75</v>
      </c>
      <c r="H11" s="6">
        <f>G11*100</f>
        <v>75</v>
      </c>
      <c r="I11" s="6">
        <f>F11-E11</f>
        <v>0.5</v>
      </c>
      <c r="J11" s="5" t="s">
        <v>610</v>
      </c>
      <c r="K11" s="14">
        <f t="shared" si="2"/>
        <v>75</v>
      </c>
      <c r="L11" s="5" t="s">
        <v>163</v>
      </c>
      <c r="M11" s="5" t="s">
        <v>611</v>
      </c>
      <c r="N11" s="5" t="s">
        <v>613</v>
      </c>
      <c r="O11" s="5" t="s">
        <v>614</v>
      </c>
      <c r="P11" s="5" t="s">
        <v>615</v>
      </c>
      <c r="Q11" s="5" t="s">
        <v>306</v>
      </c>
    </row>
    <row r="12" spans="1:17" x14ac:dyDescent="0.2">
      <c r="A12" s="3" t="s">
        <v>302</v>
      </c>
      <c r="B12" s="3" t="s">
        <v>60</v>
      </c>
      <c r="C12" s="3" t="s">
        <v>616</v>
      </c>
      <c r="D12" s="3" t="s">
        <v>617</v>
      </c>
      <c r="E12" s="15">
        <v>46054</v>
      </c>
      <c r="F12" s="7">
        <v>3</v>
      </c>
      <c r="G12" s="7">
        <v>2</v>
      </c>
      <c r="H12" s="15">
        <v>46114</v>
      </c>
      <c r="I12" s="15">
        <v>46114</v>
      </c>
      <c r="J12" s="3" t="s">
        <v>619</v>
      </c>
      <c r="K12" s="15">
        <v>46114</v>
      </c>
      <c r="L12" s="3" t="s">
        <v>83</v>
      </c>
      <c r="M12" s="3" t="s">
        <v>620</v>
      </c>
    </row>
    <row r="13" spans="1:17" x14ac:dyDescent="0.2">
      <c r="A13" s="3" t="s">
        <v>621</v>
      </c>
      <c r="B13" s="3" t="s">
        <v>622</v>
      </c>
      <c r="C13" s="3" t="s">
        <v>92</v>
      </c>
      <c r="D13" s="3" t="s">
        <v>623</v>
      </c>
      <c r="E13" s="7">
        <v>100</v>
      </c>
      <c r="F13" s="7">
        <v>1600</v>
      </c>
      <c r="G13" s="7">
        <v>1</v>
      </c>
      <c r="H13" s="7">
        <v>100</v>
      </c>
      <c r="I13" s="7">
        <v>16</v>
      </c>
      <c r="J13" s="3" t="s">
        <v>624</v>
      </c>
      <c r="K13" s="7">
        <v>16</v>
      </c>
      <c r="L13" s="3" t="s">
        <v>83</v>
      </c>
      <c r="M13" s="3" t="s">
        <v>625</v>
      </c>
    </row>
    <row r="14" spans="1:17" x14ac:dyDescent="0.2">
      <c r="A14" s="3" t="s">
        <v>626</v>
      </c>
      <c r="B14" s="3" t="s">
        <v>622</v>
      </c>
      <c r="C14" s="3" t="s">
        <v>92</v>
      </c>
      <c r="D14" s="3" t="s">
        <v>627</v>
      </c>
      <c r="E14" s="7">
        <v>100</v>
      </c>
      <c r="F14" s="7">
        <v>1600</v>
      </c>
      <c r="G14" s="7">
        <v>1</v>
      </c>
      <c r="H14" s="7">
        <v>100</v>
      </c>
      <c r="I14" s="15">
        <v>46161</v>
      </c>
      <c r="J14" s="3" t="s">
        <v>628</v>
      </c>
      <c r="K14" s="15">
        <v>46161</v>
      </c>
      <c r="L14" s="3" t="s">
        <v>83</v>
      </c>
      <c r="M14" s="3" t="s">
        <v>629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0"/>
  <sheetViews>
    <sheetView workbookViewId="0"/>
  </sheetViews>
  <sheetFormatPr defaultColWidth="12.5703125" defaultRowHeight="15.75" customHeight="1" x14ac:dyDescent="0.2"/>
  <cols>
    <col min="3" max="3" width="13.28515625" customWidth="1"/>
    <col min="6" max="6" width="17.7109375" customWidth="1"/>
    <col min="7" max="7" width="30.85546875" customWidth="1"/>
    <col min="8" max="8" width="28.7109375" customWidth="1"/>
  </cols>
  <sheetData>
    <row r="1" spans="1:9" x14ac:dyDescent="0.2">
      <c r="A1" s="3" t="s">
        <v>460</v>
      </c>
      <c r="B1" s="3" t="s">
        <v>461</v>
      </c>
      <c r="C1" s="3" t="s">
        <v>462</v>
      </c>
      <c r="D1" s="3" t="s">
        <v>463</v>
      </c>
      <c r="E1" s="3" t="s">
        <v>464</v>
      </c>
      <c r="F1" s="3" t="s">
        <v>465</v>
      </c>
      <c r="G1" s="3" t="s">
        <v>466</v>
      </c>
      <c r="H1" s="3" t="s">
        <v>467</v>
      </c>
      <c r="I1" s="3" t="s">
        <v>468</v>
      </c>
    </row>
    <row r="2" spans="1:9" x14ac:dyDescent="0.2">
      <c r="A2" s="3" t="s">
        <v>469</v>
      </c>
      <c r="B2" s="3" t="s">
        <v>116</v>
      </c>
      <c r="C2" s="3" t="s">
        <v>126</v>
      </c>
      <c r="D2" s="3" t="s">
        <v>97</v>
      </c>
      <c r="E2" s="3" t="s">
        <v>100</v>
      </c>
      <c r="F2" s="3" t="s">
        <v>470</v>
      </c>
      <c r="G2" s="5" t="s">
        <v>472</v>
      </c>
      <c r="H2" s="5" t="s">
        <v>473</v>
      </c>
      <c r="I2" s="4" t="s">
        <v>474</v>
      </c>
    </row>
    <row r="3" spans="1:9" x14ac:dyDescent="0.2">
      <c r="A3" s="3" t="s">
        <v>475</v>
      </c>
      <c r="B3" s="3" t="s">
        <v>84</v>
      </c>
      <c r="C3" s="3" t="s">
        <v>91</v>
      </c>
      <c r="D3" s="3" t="s">
        <v>127</v>
      </c>
      <c r="E3" s="3" t="s">
        <v>136</v>
      </c>
      <c r="F3" s="3" t="s">
        <v>476</v>
      </c>
      <c r="G3" s="5" t="s">
        <v>478</v>
      </c>
      <c r="H3" s="5" t="s">
        <v>480</v>
      </c>
      <c r="I3" s="4" t="s">
        <v>474</v>
      </c>
    </row>
    <row r="4" spans="1:9" x14ac:dyDescent="0.2">
      <c r="A4" s="3" t="s">
        <v>482</v>
      </c>
      <c r="B4" s="3" t="s">
        <v>138</v>
      </c>
      <c r="C4" s="3" t="s">
        <v>149</v>
      </c>
      <c r="D4" s="3" t="s">
        <v>97</v>
      </c>
      <c r="E4" s="3" t="s">
        <v>100</v>
      </c>
      <c r="F4" s="3" t="s">
        <v>476</v>
      </c>
      <c r="G4" s="5" t="s">
        <v>484</v>
      </c>
      <c r="H4" s="5" t="s">
        <v>485</v>
      </c>
      <c r="I4" s="4" t="s">
        <v>474</v>
      </c>
    </row>
    <row r="5" spans="1:9" x14ac:dyDescent="0.2">
      <c r="A5" s="3" t="s">
        <v>487</v>
      </c>
      <c r="B5" s="3" t="s">
        <v>92</v>
      </c>
      <c r="C5" s="3" t="s">
        <v>96</v>
      </c>
      <c r="D5" s="3" t="s">
        <v>106</v>
      </c>
      <c r="E5" s="3" t="s">
        <v>114</v>
      </c>
      <c r="F5" s="3" t="s">
        <v>476</v>
      </c>
      <c r="G5" s="10" t="s">
        <v>488</v>
      </c>
      <c r="H5" s="5" t="s">
        <v>489</v>
      </c>
      <c r="I5" s="4" t="s">
        <v>474</v>
      </c>
    </row>
    <row r="6" spans="1:9" x14ac:dyDescent="0.2">
      <c r="A6" s="3" t="s">
        <v>490</v>
      </c>
      <c r="B6" s="3" t="s">
        <v>101</v>
      </c>
      <c r="C6" s="3" t="s">
        <v>105</v>
      </c>
      <c r="D6" s="3" t="s">
        <v>92</v>
      </c>
      <c r="E6" s="3" t="s">
        <v>96</v>
      </c>
      <c r="F6" s="3" t="s">
        <v>491</v>
      </c>
      <c r="G6" s="5" t="s">
        <v>492</v>
      </c>
      <c r="H6" s="5" t="s">
        <v>493</v>
      </c>
      <c r="I6" s="4" t="s">
        <v>474</v>
      </c>
    </row>
    <row r="7" spans="1:9" x14ac:dyDescent="0.2">
      <c r="A7" s="3" t="s">
        <v>494</v>
      </c>
      <c r="B7" s="3" t="s">
        <v>7</v>
      </c>
      <c r="C7" s="3" t="s">
        <v>55</v>
      </c>
      <c r="D7" s="3" t="s">
        <v>56</v>
      </c>
      <c r="E7" s="3" t="s">
        <v>59</v>
      </c>
      <c r="F7" s="3" t="s">
        <v>491</v>
      </c>
      <c r="G7" s="5" t="s">
        <v>495</v>
      </c>
      <c r="H7" s="5" t="s">
        <v>496</v>
      </c>
      <c r="I7" s="4" t="s">
        <v>474</v>
      </c>
    </row>
    <row r="8" spans="1:9" x14ac:dyDescent="0.2">
      <c r="A8" s="3" t="s">
        <v>497</v>
      </c>
      <c r="B8" s="3" t="s">
        <v>7</v>
      </c>
      <c r="C8" s="3" t="s">
        <v>55</v>
      </c>
      <c r="D8" s="3" t="s">
        <v>106</v>
      </c>
      <c r="E8" s="3" t="s">
        <v>114</v>
      </c>
      <c r="F8" s="3" t="s">
        <v>476</v>
      </c>
      <c r="G8" s="5" t="s">
        <v>498</v>
      </c>
      <c r="H8" s="5" t="s">
        <v>499</v>
      </c>
      <c r="I8" s="4" t="s">
        <v>474</v>
      </c>
    </row>
    <row r="9" spans="1:9" x14ac:dyDescent="0.2">
      <c r="A9" s="3" t="s">
        <v>500</v>
      </c>
      <c r="B9" s="3" t="s">
        <v>7</v>
      </c>
      <c r="C9" s="3" t="s">
        <v>55</v>
      </c>
      <c r="D9" s="3" t="s">
        <v>127</v>
      </c>
      <c r="E9" s="3" t="s">
        <v>136</v>
      </c>
      <c r="F9" s="3" t="s">
        <v>476</v>
      </c>
      <c r="G9" s="5" t="s">
        <v>501</v>
      </c>
      <c r="H9" s="5" t="s">
        <v>502</v>
      </c>
      <c r="I9" s="4" t="s">
        <v>474</v>
      </c>
    </row>
    <row r="10" spans="1:9" x14ac:dyDescent="0.2">
      <c r="A10" s="3" t="s">
        <v>503</v>
      </c>
      <c r="B10" s="3" t="s">
        <v>7</v>
      </c>
      <c r="C10" s="3" t="s">
        <v>55</v>
      </c>
      <c r="D10" s="3" t="s">
        <v>138</v>
      </c>
      <c r="E10" s="3" t="s">
        <v>149</v>
      </c>
      <c r="F10" s="3" t="s">
        <v>476</v>
      </c>
      <c r="G10" s="5" t="s">
        <v>504</v>
      </c>
      <c r="H10" s="5" t="s">
        <v>505</v>
      </c>
      <c r="I10" s="4" t="s">
        <v>474</v>
      </c>
    </row>
    <row r="11" spans="1:9" x14ac:dyDescent="0.2">
      <c r="A11" s="3" t="s">
        <v>506</v>
      </c>
      <c r="B11" s="3" t="s">
        <v>60</v>
      </c>
      <c r="C11" s="3" t="s">
        <v>66</v>
      </c>
      <c r="D11" s="3" t="s">
        <v>56</v>
      </c>
      <c r="E11" s="3" t="s">
        <v>59</v>
      </c>
      <c r="F11" s="3" t="s">
        <v>491</v>
      </c>
      <c r="G11" s="5" t="s">
        <v>507</v>
      </c>
      <c r="H11" s="5" t="s">
        <v>509</v>
      </c>
      <c r="I11" s="4" t="s">
        <v>474</v>
      </c>
    </row>
    <row r="12" spans="1:9" x14ac:dyDescent="0.2">
      <c r="A12" s="3" t="s">
        <v>510</v>
      </c>
      <c r="B12" s="3" t="s">
        <v>67</v>
      </c>
      <c r="C12" s="3" t="s">
        <v>82</v>
      </c>
      <c r="D12" s="3" t="s">
        <v>56</v>
      </c>
      <c r="E12" s="3" t="s">
        <v>59</v>
      </c>
      <c r="F12" s="3" t="s">
        <v>491</v>
      </c>
      <c r="G12" s="5" t="s">
        <v>513</v>
      </c>
      <c r="H12" s="5" t="s">
        <v>515</v>
      </c>
      <c r="I12" s="4" t="s">
        <v>474</v>
      </c>
    </row>
    <row r="13" spans="1:9" x14ac:dyDescent="0.2">
      <c r="A13" s="3" t="s">
        <v>517</v>
      </c>
      <c r="B13" s="3" t="s">
        <v>60</v>
      </c>
      <c r="C13" s="3" t="s">
        <v>66</v>
      </c>
      <c r="D13" s="3" t="s">
        <v>97</v>
      </c>
      <c r="E13" s="3" t="s">
        <v>100</v>
      </c>
      <c r="F13" s="3" t="s">
        <v>476</v>
      </c>
      <c r="G13" s="5" t="s">
        <v>520</v>
      </c>
      <c r="H13" s="5" t="s">
        <v>521</v>
      </c>
      <c r="I13" s="4" t="s">
        <v>474</v>
      </c>
    </row>
    <row r="14" spans="1:9" x14ac:dyDescent="0.2">
      <c r="A14" s="3" t="s">
        <v>522</v>
      </c>
      <c r="B14" s="3" t="s">
        <v>60</v>
      </c>
      <c r="C14" s="3" t="s">
        <v>66</v>
      </c>
      <c r="D14" s="3" t="s">
        <v>106</v>
      </c>
      <c r="E14" s="3" t="s">
        <v>114</v>
      </c>
      <c r="F14" s="3" t="s">
        <v>476</v>
      </c>
      <c r="G14" s="5" t="s">
        <v>523</v>
      </c>
      <c r="H14" s="5" t="s">
        <v>524</v>
      </c>
      <c r="I14" s="4" t="s">
        <v>474</v>
      </c>
    </row>
    <row r="15" spans="1:9" x14ac:dyDescent="0.2">
      <c r="A15" s="3" t="s">
        <v>525</v>
      </c>
      <c r="B15" s="3" t="s">
        <v>67</v>
      </c>
      <c r="C15" s="3" t="s">
        <v>82</v>
      </c>
      <c r="D15" s="3" t="s">
        <v>106</v>
      </c>
      <c r="E15" s="3" t="s">
        <v>114</v>
      </c>
      <c r="F15" s="3" t="s">
        <v>476</v>
      </c>
      <c r="G15" s="5" t="s">
        <v>528</v>
      </c>
      <c r="H15" s="5" t="s">
        <v>530</v>
      </c>
      <c r="I15" s="4" t="s">
        <v>474</v>
      </c>
    </row>
    <row r="16" spans="1:9" x14ac:dyDescent="0.2">
      <c r="A16" s="3" t="s">
        <v>532</v>
      </c>
      <c r="B16" s="3" t="s">
        <v>67</v>
      </c>
      <c r="C16" s="3" t="s">
        <v>82</v>
      </c>
      <c r="D16" s="3" t="s">
        <v>127</v>
      </c>
      <c r="E16" s="3" t="s">
        <v>136</v>
      </c>
      <c r="F16" s="3" t="s">
        <v>476</v>
      </c>
      <c r="G16" s="5" t="s">
        <v>535</v>
      </c>
      <c r="H16" s="5" t="s">
        <v>536</v>
      </c>
      <c r="I16" s="4" t="s">
        <v>474</v>
      </c>
    </row>
    <row r="17" spans="1:9" x14ac:dyDescent="0.2">
      <c r="A17" s="3" t="s">
        <v>537</v>
      </c>
      <c r="B17" s="3" t="s">
        <v>84</v>
      </c>
      <c r="C17" s="3" t="s">
        <v>91</v>
      </c>
      <c r="D17" s="3" t="s">
        <v>92</v>
      </c>
      <c r="E17" s="3" t="s">
        <v>96</v>
      </c>
      <c r="F17" s="3" t="s">
        <v>491</v>
      </c>
      <c r="G17" s="5" t="s">
        <v>538</v>
      </c>
      <c r="H17" s="5" t="s">
        <v>539</v>
      </c>
      <c r="I17" s="4" t="s">
        <v>474</v>
      </c>
    </row>
    <row r="18" spans="1:9" x14ac:dyDescent="0.2">
      <c r="A18" s="3" t="s">
        <v>541</v>
      </c>
      <c r="B18" s="3" t="s">
        <v>84</v>
      </c>
      <c r="C18" s="3" t="s">
        <v>91</v>
      </c>
      <c r="D18" s="3" t="s">
        <v>67</v>
      </c>
      <c r="E18" s="3" t="s">
        <v>82</v>
      </c>
      <c r="F18" s="3" t="s">
        <v>470</v>
      </c>
      <c r="G18" s="5" t="s">
        <v>547</v>
      </c>
      <c r="H18" s="5" t="s">
        <v>549</v>
      </c>
      <c r="I18" s="4" t="s">
        <v>474</v>
      </c>
    </row>
    <row r="19" spans="1:9" x14ac:dyDescent="0.2">
      <c r="A19" s="3" t="s">
        <v>552</v>
      </c>
      <c r="B19" s="3" t="s">
        <v>92</v>
      </c>
      <c r="C19" s="3" t="s">
        <v>96</v>
      </c>
      <c r="D19" s="3" t="s">
        <v>97</v>
      </c>
      <c r="E19" s="3" t="s">
        <v>100</v>
      </c>
      <c r="F19" s="3" t="s">
        <v>491</v>
      </c>
      <c r="G19" s="5" t="s">
        <v>557</v>
      </c>
      <c r="H19" s="5" t="s">
        <v>559</v>
      </c>
      <c r="I19" s="4" t="s">
        <v>474</v>
      </c>
    </row>
    <row r="20" spans="1:9" x14ac:dyDescent="0.2">
      <c r="A20" s="3" t="s">
        <v>561</v>
      </c>
      <c r="B20" s="3" t="s">
        <v>92</v>
      </c>
      <c r="C20" s="3" t="s">
        <v>96</v>
      </c>
      <c r="D20" s="3" t="s">
        <v>56</v>
      </c>
      <c r="E20" s="3" t="s">
        <v>59</v>
      </c>
      <c r="F20" s="3" t="s">
        <v>566</v>
      </c>
      <c r="G20" s="5" t="s">
        <v>567</v>
      </c>
      <c r="H20" s="5" t="s">
        <v>568</v>
      </c>
      <c r="I20" s="4" t="s">
        <v>474</v>
      </c>
    </row>
    <row r="21" spans="1:9" x14ac:dyDescent="0.2">
      <c r="A21" s="3" t="s">
        <v>569</v>
      </c>
      <c r="B21" s="3" t="s">
        <v>101</v>
      </c>
      <c r="C21" s="3" t="s">
        <v>105</v>
      </c>
      <c r="D21" s="3" t="s">
        <v>97</v>
      </c>
      <c r="E21" s="3" t="s">
        <v>100</v>
      </c>
      <c r="F21" s="3" t="s">
        <v>491</v>
      </c>
      <c r="G21" s="5" t="s">
        <v>571</v>
      </c>
      <c r="H21" s="5" t="s">
        <v>572</v>
      </c>
      <c r="I21" s="4" t="s">
        <v>474</v>
      </c>
    </row>
    <row r="22" spans="1:9" x14ac:dyDescent="0.2">
      <c r="A22" s="3" t="s">
        <v>573</v>
      </c>
      <c r="B22" s="3" t="s">
        <v>97</v>
      </c>
      <c r="C22" s="3" t="s">
        <v>100</v>
      </c>
      <c r="D22" s="3" t="s">
        <v>127</v>
      </c>
      <c r="E22" s="3" t="s">
        <v>136</v>
      </c>
      <c r="F22" s="3" t="s">
        <v>470</v>
      </c>
      <c r="G22" s="5" t="s">
        <v>574</v>
      </c>
      <c r="H22" s="5" t="s">
        <v>575</v>
      </c>
      <c r="I22" s="4" t="s">
        <v>474</v>
      </c>
    </row>
    <row r="23" spans="1:9" x14ac:dyDescent="0.2">
      <c r="A23" s="3" t="s">
        <v>576</v>
      </c>
      <c r="B23" s="3" t="s">
        <v>101</v>
      </c>
      <c r="C23" s="3" t="s">
        <v>105</v>
      </c>
      <c r="D23" s="3" t="s">
        <v>84</v>
      </c>
      <c r="E23" s="3" t="s">
        <v>91</v>
      </c>
      <c r="F23" s="3" t="s">
        <v>491</v>
      </c>
      <c r="G23" s="5" t="s">
        <v>577</v>
      </c>
      <c r="H23" s="5" t="s">
        <v>578</v>
      </c>
      <c r="I23" s="4" t="s">
        <v>474</v>
      </c>
    </row>
    <row r="24" spans="1:9" x14ac:dyDescent="0.2">
      <c r="A24" s="3" t="s">
        <v>579</v>
      </c>
      <c r="B24" s="3" t="s">
        <v>101</v>
      </c>
      <c r="C24" s="3" t="s">
        <v>105</v>
      </c>
      <c r="D24" s="3" t="s">
        <v>127</v>
      </c>
      <c r="E24" s="3" t="s">
        <v>136</v>
      </c>
      <c r="F24" s="3" t="s">
        <v>476</v>
      </c>
      <c r="G24" s="5" t="s">
        <v>581</v>
      </c>
      <c r="H24" s="5" t="s">
        <v>582</v>
      </c>
      <c r="I24" s="4" t="s">
        <v>474</v>
      </c>
    </row>
    <row r="25" spans="1:9" x14ac:dyDescent="0.2">
      <c r="A25" s="3" t="s">
        <v>583</v>
      </c>
      <c r="B25" s="3" t="s">
        <v>138</v>
      </c>
      <c r="C25" s="3" t="s">
        <v>149</v>
      </c>
      <c r="D25" s="3" t="s">
        <v>106</v>
      </c>
      <c r="E25" s="3" t="s">
        <v>114</v>
      </c>
      <c r="F25" s="3" t="s">
        <v>491</v>
      </c>
      <c r="G25" s="5" t="s">
        <v>585</v>
      </c>
      <c r="H25" s="5" t="s">
        <v>587</v>
      </c>
      <c r="I25" s="4" t="s">
        <v>474</v>
      </c>
    </row>
    <row r="26" spans="1:9" x14ac:dyDescent="0.2">
      <c r="A26" s="3" t="s">
        <v>590</v>
      </c>
      <c r="B26" s="3" t="s">
        <v>106</v>
      </c>
      <c r="C26" s="3" t="s">
        <v>114</v>
      </c>
      <c r="D26" s="3" t="s">
        <v>97</v>
      </c>
      <c r="E26" s="3" t="s">
        <v>100</v>
      </c>
      <c r="F26" s="3" t="s">
        <v>470</v>
      </c>
      <c r="G26" s="5" t="s">
        <v>593</v>
      </c>
      <c r="H26" s="5" t="s">
        <v>595</v>
      </c>
      <c r="I26" s="4" t="s">
        <v>474</v>
      </c>
    </row>
    <row r="27" spans="1:9" x14ac:dyDescent="0.2">
      <c r="A27" s="3" t="s">
        <v>596</v>
      </c>
      <c r="B27" s="3" t="s">
        <v>116</v>
      </c>
      <c r="C27" s="3" t="s">
        <v>126</v>
      </c>
      <c r="D27" s="3" t="s">
        <v>106</v>
      </c>
      <c r="E27" s="3" t="s">
        <v>114</v>
      </c>
      <c r="F27" s="3" t="s">
        <v>491</v>
      </c>
      <c r="G27" s="5" t="s">
        <v>597</v>
      </c>
      <c r="H27" s="5" t="s">
        <v>598</v>
      </c>
      <c r="I27" s="4" t="s">
        <v>474</v>
      </c>
    </row>
    <row r="28" spans="1:9" x14ac:dyDescent="0.2">
      <c r="A28" s="3" t="s">
        <v>599</v>
      </c>
      <c r="B28" s="3" t="s">
        <v>84</v>
      </c>
      <c r="C28" s="3" t="s">
        <v>91</v>
      </c>
      <c r="D28" s="3" t="s">
        <v>116</v>
      </c>
      <c r="E28" s="3" t="s">
        <v>126</v>
      </c>
      <c r="F28" s="3" t="s">
        <v>476</v>
      </c>
      <c r="G28" s="5" t="s">
        <v>600</v>
      </c>
      <c r="H28" s="5" t="s">
        <v>601</v>
      </c>
      <c r="I28" s="4" t="s">
        <v>474</v>
      </c>
    </row>
    <row r="29" spans="1:9" x14ac:dyDescent="0.2">
      <c r="A29" s="3" t="s">
        <v>602</v>
      </c>
      <c r="B29" s="3" t="s">
        <v>138</v>
      </c>
      <c r="C29" s="3" t="s">
        <v>149</v>
      </c>
      <c r="D29" s="3" t="s">
        <v>127</v>
      </c>
      <c r="E29" s="3" t="s">
        <v>136</v>
      </c>
      <c r="F29" s="3" t="s">
        <v>491</v>
      </c>
      <c r="G29" s="5" t="s">
        <v>604</v>
      </c>
      <c r="H29" s="5" t="s">
        <v>605</v>
      </c>
      <c r="I29" s="4" t="s">
        <v>474</v>
      </c>
    </row>
    <row r="30" spans="1:9" x14ac:dyDescent="0.2">
      <c r="A30" s="3" t="s">
        <v>606</v>
      </c>
      <c r="B30" s="3" t="s">
        <v>138</v>
      </c>
      <c r="C30" s="3" t="s">
        <v>149</v>
      </c>
      <c r="D30" s="3" t="s">
        <v>127</v>
      </c>
      <c r="E30" s="3" t="s">
        <v>136</v>
      </c>
      <c r="F30" s="3" t="s">
        <v>607</v>
      </c>
      <c r="G30" s="5" t="s">
        <v>608</v>
      </c>
      <c r="H30" s="5" t="s">
        <v>609</v>
      </c>
      <c r="I30" s="4" t="s">
        <v>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"/>
  <sheetViews>
    <sheetView workbookViewId="0"/>
  </sheetViews>
  <sheetFormatPr defaultColWidth="12.5703125" defaultRowHeight="15.75" customHeight="1" x14ac:dyDescent="0.2"/>
  <cols>
    <col min="1" max="1" width="19" customWidth="1"/>
    <col min="4" max="4" width="21.28515625" customWidth="1"/>
    <col min="7" max="7" width="22.42578125" customWidth="1"/>
    <col min="8" max="8" width="26.85546875" customWidth="1"/>
  </cols>
  <sheetData>
    <row r="1" spans="1:9" x14ac:dyDescent="0.2">
      <c r="A1" s="3" t="s">
        <v>657</v>
      </c>
      <c r="B1" s="3" t="s">
        <v>658</v>
      </c>
      <c r="C1" s="3" t="s">
        <v>659</v>
      </c>
      <c r="D1" s="3" t="s">
        <v>61</v>
      </c>
      <c r="E1" s="3" t="s">
        <v>661</v>
      </c>
      <c r="F1" s="3" t="s">
        <v>662</v>
      </c>
      <c r="G1" s="3" t="s">
        <v>663</v>
      </c>
      <c r="H1" s="3" t="s">
        <v>664</v>
      </c>
      <c r="I1" s="3" t="s">
        <v>665</v>
      </c>
    </row>
    <row r="2" spans="1:9" x14ac:dyDescent="0.2">
      <c r="A2" s="3" t="s">
        <v>666</v>
      </c>
      <c r="B2" s="3" t="s">
        <v>667</v>
      </c>
      <c r="C2" s="3" t="s">
        <v>7</v>
      </c>
      <c r="D2" s="3" t="s">
        <v>36</v>
      </c>
      <c r="E2" s="3">
        <v>75</v>
      </c>
      <c r="F2" s="3">
        <v>85</v>
      </c>
      <c r="G2" s="5" t="s">
        <v>668</v>
      </c>
      <c r="H2" s="5" t="s">
        <v>670</v>
      </c>
      <c r="I2" s="3" t="s">
        <v>348</v>
      </c>
    </row>
    <row r="3" spans="1:9" x14ac:dyDescent="0.2">
      <c r="A3" s="3" t="s">
        <v>666</v>
      </c>
      <c r="B3" s="3" t="s">
        <v>671</v>
      </c>
      <c r="C3" s="3" t="s">
        <v>106</v>
      </c>
      <c r="D3" s="5" t="s">
        <v>672</v>
      </c>
      <c r="E3" s="3">
        <v>30</v>
      </c>
      <c r="F3" s="3">
        <v>50</v>
      </c>
      <c r="G3" s="5" t="s">
        <v>673</v>
      </c>
      <c r="H3" s="5" t="s">
        <v>674</v>
      </c>
      <c r="I3" s="3" t="s">
        <v>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"/>
  <sheetViews>
    <sheetView workbookViewId="0"/>
  </sheetViews>
  <sheetFormatPr defaultColWidth="12.5703125" defaultRowHeight="15.75" customHeight="1" x14ac:dyDescent="0.2"/>
  <cols>
    <col min="5" max="5" width="20.28515625" customWidth="1"/>
    <col min="8" max="8" width="15.85546875" customWidth="1"/>
    <col min="10" max="10" width="25.85546875" customWidth="1"/>
    <col min="12" max="12" width="32.42578125" customWidth="1"/>
  </cols>
  <sheetData>
    <row r="1" spans="1:13" x14ac:dyDescent="0.2">
      <c r="A1" s="3" t="s">
        <v>746</v>
      </c>
      <c r="B1" s="3" t="s">
        <v>249</v>
      </c>
      <c r="C1" s="3" t="s">
        <v>657</v>
      </c>
      <c r="D1" s="3" t="s">
        <v>0</v>
      </c>
      <c r="E1" s="3" t="s">
        <v>378</v>
      </c>
      <c r="F1" s="3" t="s">
        <v>747</v>
      </c>
      <c r="G1" s="3" t="s">
        <v>748</v>
      </c>
      <c r="H1" s="3" t="s">
        <v>381</v>
      </c>
      <c r="I1" s="3" t="s">
        <v>749</v>
      </c>
      <c r="J1" s="3" t="s">
        <v>750</v>
      </c>
      <c r="L1" s="3" t="s">
        <v>751</v>
      </c>
      <c r="M1" s="3" t="s">
        <v>64</v>
      </c>
    </row>
    <row r="2" spans="1:13" x14ac:dyDescent="0.2">
      <c r="A2" s="3" t="s">
        <v>752</v>
      </c>
      <c r="B2" s="3" t="s">
        <v>348</v>
      </c>
      <c r="C2" s="3" t="s">
        <v>666</v>
      </c>
      <c r="D2" s="3" t="s">
        <v>7</v>
      </c>
      <c r="E2" s="3" t="s">
        <v>40</v>
      </c>
      <c r="F2" s="6">
        <f>800/75</f>
        <v>10.666666666666666</v>
      </c>
      <c r="G2" s="6">
        <f>800/85</f>
        <v>9.4117647058823533</v>
      </c>
      <c r="H2" s="12">
        <f t="shared" ref="H2:H5" si="0">(G2-F2)/F2</f>
        <v>-0.11764705882352933</v>
      </c>
      <c r="I2" s="3" t="s">
        <v>753</v>
      </c>
      <c r="J2" s="5" t="s">
        <v>754</v>
      </c>
      <c r="L2" s="3" t="s">
        <v>755</v>
      </c>
      <c r="M2" s="6">
        <f>1080/75</f>
        <v>14.4</v>
      </c>
    </row>
    <row r="3" spans="1:13" x14ac:dyDescent="0.2">
      <c r="A3" s="3" t="s">
        <v>756</v>
      </c>
      <c r="B3" s="3" t="s">
        <v>348</v>
      </c>
      <c r="C3" s="3" t="s">
        <v>666</v>
      </c>
      <c r="D3" s="3" t="s">
        <v>7</v>
      </c>
      <c r="E3" s="3" t="s">
        <v>757</v>
      </c>
      <c r="F3" s="6">
        <f>(800+800*35%)/75</f>
        <v>14.4</v>
      </c>
      <c r="G3" s="6">
        <f>(800+800*35%)/85</f>
        <v>12.705882352941176</v>
      </c>
      <c r="H3" s="12">
        <f t="shared" si="0"/>
        <v>-0.11764705882352948</v>
      </c>
      <c r="I3" s="3" t="s">
        <v>753</v>
      </c>
      <c r="J3" s="5" t="s">
        <v>758</v>
      </c>
      <c r="L3" s="3" t="s">
        <v>759</v>
      </c>
      <c r="M3" s="6">
        <f>1080/85</f>
        <v>12.705882352941176</v>
      </c>
    </row>
    <row r="4" spans="1:13" x14ac:dyDescent="0.2">
      <c r="A4" s="3" t="s">
        <v>760</v>
      </c>
      <c r="B4" s="3" t="s">
        <v>353</v>
      </c>
      <c r="C4" s="3" t="s">
        <v>666</v>
      </c>
      <c r="D4" s="3" t="s">
        <v>106</v>
      </c>
      <c r="E4" s="3" t="s">
        <v>761</v>
      </c>
      <c r="F4" s="6">
        <f>75*1.3</f>
        <v>97.5</v>
      </c>
      <c r="G4" s="6">
        <f>75*1.5</f>
        <v>112.5</v>
      </c>
      <c r="H4" s="12">
        <f t="shared" si="0"/>
        <v>0.15384615384615385</v>
      </c>
      <c r="I4" s="3" t="s">
        <v>753</v>
      </c>
      <c r="J4" s="5" t="s">
        <v>762</v>
      </c>
      <c r="L4" s="3" t="s">
        <v>763</v>
      </c>
      <c r="M4" s="6">
        <f>950/100</f>
        <v>9.5</v>
      </c>
    </row>
    <row r="5" spans="1:13" x14ac:dyDescent="0.2">
      <c r="A5" s="3" t="s">
        <v>764</v>
      </c>
      <c r="B5" s="3" t="s">
        <v>353</v>
      </c>
      <c r="C5" s="3" t="s">
        <v>666</v>
      </c>
      <c r="D5" s="3" t="s">
        <v>106</v>
      </c>
      <c r="E5" s="3" t="s">
        <v>765</v>
      </c>
      <c r="F5" s="6">
        <f>75*1.3*4</f>
        <v>390</v>
      </c>
      <c r="G5" s="6">
        <f>75*1.5*4</f>
        <v>450</v>
      </c>
      <c r="H5" s="12">
        <f t="shared" si="0"/>
        <v>0.15384615384615385</v>
      </c>
      <c r="I5" s="3" t="s">
        <v>753</v>
      </c>
      <c r="J5" s="5" t="s">
        <v>766</v>
      </c>
      <c r="L5" s="3" t="s">
        <v>767</v>
      </c>
      <c r="M5" s="6">
        <f>75</f>
        <v>75</v>
      </c>
    </row>
    <row r="6" spans="1:13" x14ac:dyDescent="0.2">
      <c r="A6" s="3" t="s">
        <v>768</v>
      </c>
      <c r="B6" s="3" t="s">
        <v>449</v>
      </c>
      <c r="C6" s="3" t="s">
        <v>666</v>
      </c>
      <c r="D6" s="3" t="s">
        <v>769</v>
      </c>
      <c r="E6" s="3" t="s">
        <v>770</v>
      </c>
      <c r="I6" s="3" t="s">
        <v>771</v>
      </c>
      <c r="J6" s="5" t="s">
        <v>772</v>
      </c>
      <c r="L6" s="3" t="s">
        <v>773</v>
      </c>
      <c r="M6" s="6">
        <f>75*1.3</f>
        <v>97.5</v>
      </c>
    </row>
    <row r="7" spans="1:13" x14ac:dyDescent="0.2">
      <c r="A7" s="3" t="s">
        <v>774</v>
      </c>
      <c r="B7" s="3" t="s">
        <v>449</v>
      </c>
      <c r="C7" s="3" t="s">
        <v>666</v>
      </c>
      <c r="D7" s="3" t="s">
        <v>775</v>
      </c>
      <c r="E7" s="3" t="s">
        <v>770</v>
      </c>
      <c r="I7" s="3" t="s">
        <v>771</v>
      </c>
      <c r="J7" s="5" t="s">
        <v>776</v>
      </c>
      <c r="L7" s="3" t="s">
        <v>777</v>
      </c>
      <c r="M7" s="6">
        <f>75*1.5</f>
        <v>112.5</v>
      </c>
    </row>
    <row r="8" spans="1:13" x14ac:dyDescent="0.2">
      <c r="A8" s="3" t="s">
        <v>778</v>
      </c>
      <c r="B8" s="3" t="s">
        <v>449</v>
      </c>
      <c r="C8" s="3" t="s">
        <v>666</v>
      </c>
      <c r="D8" s="3" t="s">
        <v>779</v>
      </c>
      <c r="E8" s="3" t="s">
        <v>770</v>
      </c>
      <c r="I8" s="3" t="s">
        <v>771</v>
      </c>
      <c r="J8" s="5" t="s">
        <v>780</v>
      </c>
    </row>
    <row r="9" spans="1:13" x14ac:dyDescent="0.2">
      <c r="A9" s="3" t="s">
        <v>781</v>
      </c>
      <c r="B9" s="3" t="s">
        <v>449</v>
      </c>
      <c r="C9" s="3" t="s">
        <v>666</v>
      </c>
      <c r="D9" s="3" t="s">
        <v>782</v>
      </c>
      <c r="E9" s="3" t="s">
        <v>770</v>
      </c>
      <c r="I9" s="3" t="s">
        <v>771</v>
      </c>
      <c r="J9" s="5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Unit_Balance</vt:lpstr>
      <vt:lpstr>Balance_Config</vt:lpstr>
      <vt:lpstr>Faction_Identity</vt:lpstr>
      <vt:lpstr>Unit_Identity</vt:lpstr>
      <vt:lpstr>Ability_Balance</vt:lpstr>
      <vt:lpstr>Balance_Risks</vt:lpstr>
      <vt:lpstr>Balance_Summary</vt:lpstr>
      <vt:lpstr>Cost_Efficiency</vt:lpstr>
      <vt:lpstr>Ability_Analysis</vt:lpstr>
      <vt:lpstr>Combat_Scenarios</vt:lpstr>
      <vt:lpstr>Interaction_Matrix</vt:lpstr>
      <vt:lpstr>Balance_Changelog</vt:lpstr>
      <vt:lpstr>Balance_Tests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ВЕЛИЧАЙШИЙ</dc:creator>
  <cp:lastModifiedBy>ВЕЛИЧАЙШИЙ</cp:lastModifiedBy>
  <dcterms:created xsi:type="dcterms:W3CDTF">2026-09-27T17:20:05Z</dcterms:created>
  <dcterms:modified xsi:type="dcterms:W3CDTF">2026-09-27T17:26:18Z</dcterms:modified>
</cp:coreProperties>
</file>